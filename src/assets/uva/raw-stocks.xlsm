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d\Google Drive\TSW\zf_general\"/>
    </mc:Choice>
  </mc:AlternateContent>
  <xr:revisionPtr revIDLastSave="0" documentId="13_ncr:1_{AAAB9068-68DC-4353-B6DC-035B1BF88B22}" xr6:coauthVersionLast="47" xr6:coauthVersionMax="47" xr10:uidLastSave="{00000000-0000-0000-0000-000000000000}"/>
  <bookViews>
    <workbookView xWindow="57480" yWindow="7710" windowWidth="29040" windowHeight="15840" activeTab="1" xr2:uid="{6A98D68F-0132-43A1-B4C9-DC01D0AA79DA}"/>
  </bookViews>
  <sheets>
    <sheet name="original" sheetId="1" r:id="rId1"/>
    <sheet name="raw-stock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8" i="2" l="1"/>
  <c r="O516" i="2"/>
  <c r="O524" i="2"/>
  <c r="O532" i="2"/>
  <c r="O540" i="2"/>
  <c r="O548" i="2"/>
  <c r="O556" i="2"/>
  <c r="O564" i="2"/>
  <c r="O572" i="2"/>
  <c r="O580" i="2"/>
  <c r="O588" i="2"/>
  <c r="O596" i="2"/>
  <c r="O604" i="2"/>
  <c r="O612" i="2"/>
  <c r="O620" i="2"/>
  <c r="O509" i="2"/>
  <c r="O517" i="2"/>
  <c r="O525" i="2"/>
  <c r="O533" i="2"/>
  <c r="O541" i="2"/>
  <c r="O549" i="2"/>
  <c r="O557" i="2"/>
  <c r="O565" i="2"/>
  <c r="O573" i="2"/>
  <c r="O581" i="2"/>
  <c r="O589" i="2"/>
  <c r="O597" i="2"/>
  <c r="O605" i="2"/>
  <c r="O613" i="2"/>
  <c r="O621" i="2"/>
  <c r="O510" i="2"/>
  <c r="O518" i="2"/>
  <c r="O526" i="2"/>
  <c r="O534" i="2"/>
  <c r="O542" i="2"/>
  <c r="O550" i="2"/>
  <c r="O558" i="2"/>
  <c r="O566" i="2"/>
  <c r="O574" i="2"/>
  <c r="O582" i="2"/>
  <c r="O590" i="2"/>
  <c r="O598" i="2"/>
  <c r="O606" i="2"/>
  <c r="O614" i="2"/>
  <c r="O622" i="2"/>
  <c r="O511" i="2"/>
  <c r="O519" i="2"/>
  <c r="O527" i="2"/>
  <c r="O535" i="2"/>
  <c r="O543" i="2"/>
  <c r="O551" i="2"/>
  <c r="O559" i="2"/>
  <c r="O567" i="2"/>
  <c r="O575" i="2"/>
  <c r="O583" i="2"/>
  <c r="O591" i="2"/>
  <c r="O599" i="2"/>
  <c r="O607" i="2"/>
  <c r="O615" i="2"/>
  <c r="O623" i="2"/>
  <c r="O512" i="2"/>
  <c r="O520" i="2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513" i="2"/>
  <c r="O521" i="2"/>
  <c r="O529" i="2"/>
  <c r="O537" i="2"/>
  <c r="O545" i="2"/>
  <c r="O553" i="2"/>
  <c r="O561" i="2"/>
  <c r="O569" i="2"/>
  <c r="O577" i="2"/>
  <c r="O585" i="2"/>
  <c r="O593" i="2"/>
  <c r="O601" i="2"/>
  <c r="O609" i="2"/>
  <c r="O617" i="2"/>
  <c r="O625" i="2"/>
  <c r="O514" i="2"/>
  <c r="O522" i="2"/>
  <c r="O530" i="2"/>
  <c r="O538" i="2"/>
  <c r="O546" i="2"/>
  <c r="O554" i="2"/>
  <c r="O562" i="2"/>
  <c r="O570" i="2"/>
  <c r="O578" i="2"/>
  <c r="O586" i="2"/>
  <c r="O594" i="2"/>
  <c r="O602" i="2"/>
  <c r="O610" i="2"/>
  <c r="O618" i="2"/>
  <c r="O515" i="2"/>
  <c r="O523" i="2"/>
  <c r="O531" i="2"/>
  <c r="O539" i="2"/>
  <c r="O547" i="2"/>
  <c r="O555" i="2"/>
  <c r="O563" i="2"/>
  <c r="O571" i="2"/>
  <c r="O579" i="2"/>
  <c r="O587" i="2"/>
  <c r="O595" i="2"/>
  <c r="O603" i="2"/>
  <c r="O611" i="2"/>
  <c r="O619" i="2"/>
  <c r="O3" i="2"/>
  <c r="O11" i="2"/>
  <c r="O19" i="2"/>
  <c r="O27" i="2"/>
  <c r="O35" i="2"/>
  <c r="O43" i="2"/>
  <c r="O51" i="2"/>
  <c r="O59" i="2"/>
  <c r="O67" i="2"/>
  <c r="O75" i="2"/>
  <c r="O83" i="2"/>
  <c r="O91" i="2"/>
  <c r="O99" i="2"/>
  <c r="O107" i="2"/>
  <c r="O115" i="2"/>
  <c r="O123" i="2"/>
  <c r="O131" i="2"/>
  <c r="O139" i="2"/>
  <c r="O147" i="2"/>
  <c r="O155" i="2"/>
  <c r="O163" i="2"/>
  <c r="O171" i="2"/>
  <c r="O179" i="2"/>
  <c r="O187" i="2"/>
  <c r="O195" i="2"/>
  <c r="O203" i="2"/>
  <c r="O211" i="2"/>
  <c r="O219" i="2"/>
  <c r="O227" i="2"/>
  <c r="O235" i="2"/>
  <c r="O243" i="2"/>
  <c r="O251" i="2"/>
  <c r="O259" i="2"/>
  <c r="O267" i="2"/>
  <c r="O275" i="2"/>
  <c r="O283" i="2"/>
  <c r="O291" i="2"/>
  <c r="O299" i="2"/>
  <c r="O307" i="2"/>
  <c r="O315" i="2"/>
  <c r="O323" i="2"/>
  <c r="O331" i="2"/>
  <c r="O339" i="2"/>
  <c r="O347" i="2"/>
  <c r="O355" i="2"/>
  <c r="O363" i="2"/>
  <c r="O371" i="2"/>
  <c r="O379" i="2"/>
  <c r="O387" i="2"/>
  <c r="O395" i="2"/>
  <c r="O403" i="2"/>
  <c r="O411" i="2"/>
  <c r="O419" i="2"/>
  <c r="O427" i="2"/>
  <c r="O435" i="2"/>
  <c r="O443" i="2"/>
  <c r="O451" i="2"/>
  <c r="O459" i="2"/>
  <c r="O467" i="2"/>
  <c r="O475" i="2"/>
  <c r="O483" i="2"/>
  <c r="O491" i="2"/>
  <c r="O499" i="2"/>
  <c r="O507" i="2"/>
  <c r="O4" i="2"/>
  <c r="O12" i="2"/>
  <c r="O20" i="2"/>
  <c r="O28" i="2"/>
  <c r="O36" i="2"/>
  <c r="O44" i="2"/>
  <c r="O52" i="2"/>
  <c r="O60" i="2"/>
  <c r="O68" i="2"/>
  <c r="O76" i="2"/>
  <c r="O84" i="2"/>
  <c r="O92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O196" i="2"/>
  <c r="O204" i="2"/>
  <c r="O212" i="2"/>
  <c r="O220" i="2"/>
  <c r="O228" i="2"/>
  <c r="O236" i="2"/>
  <c r="O244" i="2"/>
  <c r="O252" i="2"/>
  <c r="O260" i="2"/>
  <c r="O268" i="2"/>
  <c r="O276" i="2"/>
  <c r="O284" i="2"/>
  <c r="O292" i="2"/>
  <c r="O300" i="2"/>
  <c r="O308" i="2"/>
  <c r="O316" i="2"/>
  <c r="O324" i="2"/>
  <c r="O332" i="2"/>
  <c r="O340" i="2"/>
  <c r="O348" i="2"/>
  <c r="O356" i="2"/>
  <c r="O364" i="2"/>
  <c r="O372" i="2"/>
  <c r="O380" i="2"/>
  <c r="O388" i="2"/>
  <c r="O396" i="2"/>
  <c r="O404" i="2"/>
  <c r="O412" i="2"/>
  <c r="O420" i="2"/>
  <c r="O428" i="2"/>
  <c r="O436" i="2"/>
  <c r="O444" i="2"/>
  <c r="O452" i="2"/>
  <c r="O460" i="2"/>
  <c r="O468" i="2"/>
  <c r="O476" i="2"/>
  <c r="O484" i="2"/>
  <c r="O492" i="2"/>
  <c r="O500" i="2"/>
  <c r="O5" i="2"/>
  <c r="O13" i="2"/>
  <c r="O21" i="2"/>
  <c r="O29" i="2"/>
  <c r="O37" i="2"/>
  <c r="O45" i="2"/>
  <c r="O53" i="2"/>
  <c r="O61" i="2"/>
  <c r="O69" i="2"/>
  <c r="O77" i="2"/>
  <c r="O85" i="2"/>
  <c r="O93" i="2"/>
  <c r="O101" i="2"/>
  <c r="O109" i="2"/>
  <c r="O117" i="2"/>
  <c r="O125" i="2"/>
  <c r="O133" i="2"/>
  <c r="O141" i="2"/>
  <c r="O149" i="2"/>
  <c r="O157" i="2"/>
  <c r="O165" i="2"/>
  <c r="O173" i="2"/>
  <c r="O181" i="2"/>
  <c r="O189" i="2"/>
  <c r="O197" i="2"/>
  <c r="O205" i="2"/>
  <c r="O213" i="2"/>
  <c r="O221" i="2"/>
  <c r="O229" i="2"/>
  <c r="O237" i="2"/>
  <c r="O245" i="2"/>
  <c r="O253" i="2"/>
  <c r="O261" i="2"/>
  <c r="O269" i="2"/>
  <c r="O277" i="2"/>
  <c r="O285" i="2"/>
  <c r="O293" i="2"/>
  <c r="O301" i="2"/>
  <c r="O309" i="2"/>
  <c r="O317" i="2"/>
  <c r="O325" i="2"/>
  <c r="O333" i="2"/>
  <c r="O341" i="2"/>
  <c r="O349" i="2"/>
  <c r="O357" i="2"/>
  <c r="O365" i="2"/>
  <c r="O373" i="2"/>
  <c r="O381" i="2"/>
  <c r="O389" i="2"/>
  <c r="O397" i="2"/>
  <c r="O405" i="2"/>
  <c r="O413" i="2"/>
  <c r="O421" i="2"/>
  <c r="O429" i="2"/>
  <c r="O437" i="2"/>
  <c r="O445" i="2"/>
  <c r="O453" i="2"/>
  <c r="O461" i="2"/>
  <c r="O469" i="2"/>
  <c r="O477" i="2"/>
  <c r="O485" i="2"/>
  <c r="O493" i="2"/>
  <c r="O501" i="2"/>
  <c r="O6" i="2"/>
  <c r="O14" i="2"/>
  <c r="O22" i="2"/>
  <c r="O30" i="2"/>
  <c r="O38" i="2"/>
  <c r="O46" i="2"/>
  <c r="O54" i="2"/>
  <c r="O62" i="2"/>
  <c r="O70" i="2"/>
  <c r="O78" i="2"/>
  <c r="O86" i="2"/>
  <c r="O94" i="2"/>
  <c r="O102" i="2"/>
  <c r="O110" i="2"/>
  <c r="O118" i="2"/>
  <c r="O126" i="2"/>
  <c r="O134" i="2"/>
  <c r="O142" i="2"/>
  <c r="O150" i="2"/>
  <c r="O158" i="2"/>
  <c r="O166" i="2"/>
  <c r="O174" i="2"/>
  <c r="O182" i="2"/>
  <c r="O190" i="2"/>
  <c r="O198" i="2"/>
  <c r="O206" i="2"/>
  <c r="O214" i="2"/>
  <c r="O222" i="2"/>
  <c r="O230" i="2"/>
  <c r="O238" i="2"/>
  <c r="O246" i="2"/>
  <c r="O254" i="2"/>
  <c r="O262" i="2"/>
  <c r="O270" i="2"/>
  <c r="O278" i="2"/>
  <c r="O286" i="2"/>
  <c r="O294" i="2"/>
  <c r="O302" i="2"/>
  <c r="O310" i="2"/>
  <c r="O318" i="2"/>
  <c r="O326" i="2"/>
  <c r="O334" i="2"/>
  <c r="O342" i="2"/>
  <c r="O350" i="2"/>
  <c r="O358" i="2"/>
  <c r="O366" i="2"/>
  <c r="O374" i="2"/>
  <c r="O382" i="2"/>
  <c r="O390" i="2"/>
  <c r="O398" i="2"/>
  <c r="O406" i="2"/>
  <c r="O414" i="2"/>
  <c r="O422" i="2"/>
  <c r="O430" i="2"/>
  <c r="O438" i="2"/>
  <c r="O446" i="2"/>
  <c r="O454" i="2"/>
  <c r="O462" i="2"/>
  <c r="O470" i="2"/>
  <c r="O478" i="2"/>
  <c r="O486" i="2"/>
  <c r="O494" i="2"/>
  <c r="O502" i="2"/>
  <c r="O7" i="2"/>
  <c r="O15" i="2"/>
  <c r="O23" i="2"/>
  <c r="O31" i="2"/>
  <c r="O39" i="2"/>
  <c r="O47" i="2"/>
  <c r="O55" i="2"/>
  <c r="O63" i="2"/>
  <c r="O71" i="2"/>
  <c r="O79" i="2"/>
  <c r="O87" i="2"/>
  <c r="O95" i="2"/>
  <c r="O103" i="2"/>
  <c r="O111" i="2"/>
  <c r="O119" i="2"/>
  <c r="O127" i="2"/>
  <c r="O135" i="2"/>
  <c r="O143" i="2"/>
  <c r="O151" i="2"/>
  <c r="O159" i="2"/>
  <c r="O167" i="2"/>
  <c r="O175" i="2"/>
  <c r="O183" i="2"/>
  <c r="O191" i="2"/>
  <c r="O199" i="2"/>
  <c r="O207" i="2"/>
  <c r="O215" i="2"/>
  <c r="O223" i="2"/>
  <c r="O231" i="2"/>
  <c r="O239" i="2"/>
  <c r="O247" i="2"/>
  <c r="O255" i="2"/>
  <c r="O263" i="2"/>
  <c r="O271" i="2"/>
  <c r="O279" i="2"/>
  <c r="O287" i="2"/>
  <c r="O295" i="2"/>
  <c r="O303" i="2"/>
  <c r="O311" i="2"/>
  <c r="O319" i="2"/>
  <c r="O327" i="2"/>
  <c r="O335" i="2"/>
  <c r="O343" i="2"/>
  <c r="O351" i="2"/>
  <c r="O359" i="2"/>
  <c r="O367" i="2"/>
  <c r="O375" i="2"/>
  <c r="O383" i="2"/>
  <c r="O391" i="2"/>
  <c r="O399" i="2"/>
  <c r="O407" i="2"/>
  <c r="O415" i="2"/>
  <c r="O423" i="2"/>
  <c r="O431" i="2"/>
  <c r="O439" i="2"/>
  <c r="O447" i="2"/>
  <c r="O455" i="2"/>
  <c r="O463" i="2"/>
  <c r="O471" i="2"/>
  <c r="O479" i="2"/>
  <c r="O487" i="2"/>
  <c r="O495" i="2"/>
  <c r="O503" i="2"/>
  <c r="O8" i="2"/>
  <c r="O16" i="2"/>
  <c r="O24" i="2"/>
  <c r="O32" i="2"/>
  <c r="O40" i="2"/>
  <c r="O48" i="2"/>
  <c r="O56" i="2"/>
  <c r="O64" i="2"/>
  <c r="O72" i="2"/>
  <c r="O80" i="2"/>
  <c r="O88" i="2"/>
  <c r="O96" i="2"/>
  <c r="O104" i="2"/>
  <c r="O112" i="2"/>
  <c r="O120" i="2"/>
  <c r="O128" i="2"/>
  <c r="O136" i="2"/>
  <c r="O144" i="2"/>
  <c r="O152" i="2"/>
  <c r="O160" i="2"/>
  <c r="O168" i="2"/>
  <c r="O176" i="2"/>
  <c r="O184" i="2"/>
  <c r="O192" i="2"/>
  <c r="O200" i="2"/>
  <c r="O208" i="2"/>
  <c r="O216" i="2"/>
  <c r="O224" i="2"/>
  <c r="O232" i="2"/>
  <c r="O240" i="2"/>
  <c r="O248" i="2"/>
  <c r="O256" i="2"/>
  <c r="O264" i="2"/>
  <c r="O272" i="2"/>
  <c r="O280" i="2"/>
  <c r="O288" i="2"/>
  <c r="O296" i="2"/>
  <c r="O304" i="2"/>
  <c r="O312" i="2"/>
  <c r="O320" i="2"/>
  <c r="O328" i="2"/>
  <c r="O336" i="2"/>
  <c r="O344" i="2"/>
  <c r="O352" i="2"/>
  <c r="O360" i="2"/>
  <c r="O368" i="2"/>
  <c r="O376" i="2"/>
  <c r="O384" i="2"/>
  <c r="O392" i="2"/>
  <c r="O400" i="2"/>
  <c r="O408" i="2"/>
  <c r="O416" i="2"/>
  <c r="O424" i="2"/>
  <c r="O432" i="2"/>
  <c r="O440" i="2"/>
  <c r="O448" i="2"/>
  <c r="O456" i="2"/>
  <c r="O464" i="2"/>
  <c r="O472" i="2"/>
  <c r="O480" i="2"/>
  <c r="O488" i="2"/>
  <c r="O496" i="2"/>
  <c r="O504" i="2"/>
  <c r="O9" i="2"/>
  <c r="O17" i="2"/>
  <c r="O25" i="2"/>
  <c r="O33" i="2"/>
  <c r="O41" i="2"/>
  <c r="O49" i="2"/>
  <c r="O57" i="2"/>
  <c r="O65" i="2"/>
  <c r="O73" i="2"/>
  <c r="O81" i="2"/>
  <c r="O89" i="2"/>
  <c r="O97" i="2"/>
  <c r="O105" i="2"/>
  <c r="O113" i="2"/>
  <c r="O121" i="2"/>
  <c r="O129" i="2"/>
  <c r="O137" i="2"/>
  <c r="O145" i="2"/>
  <c r="O153" i="2"/>
  <c r="O161" i="2"/>
  <c r="O169" i="2"/>
  <c r="O177" i="2"/>
  <c r="O185" i="2"/>
  <c r="O193" i="2"/>
  <c r="O201" i="2"/>
  <c r="O209" i="2"/>
  <c r="O217" i="2"/>
  <c r="O225" i="2"/>
  <c r="O233" i="2"/>
  <c r="O241" i="2"/>
  <c r="O249" i="2"/>
  <c r="O257" i="2"/>
  <c r="O265" i="2"/>
  <c r="O273" i="2"/>
  <c r="O281" i="2"/>
  <c r="O289" i="2"/>
  <c r="O297" i="2"/>
  <c r="O305" i="2"/>
  <c r="O313" i="2"/>
  <c r="O321" i="2"/>
  <c r="O329" i="2"/>
  <c r="O337" i="2"/>
  <c r="O345" i="2"/>
  <c r="O353" i="2"/>
  <c r="O361" i="2"/>
  <c r="O369" i="2"/>
  <c r="O377" i="2"/>
  <c r="O385" i="2"/>
  <c r="O393" i="2"/>
  <c r="O401" i="2"/>
  <c r="O409" i="2"/>
  <c r="O417" i="2"/>
  <c r="O425" i="2"/>
  <c r="O433" i="2"/>
  <c r="O441" i="2"/>
  <c r="O449" i="2"/>
  <c r="O457" i="2"/>
  <c r="O465" i="2"/>
  <c r="O473" i="2"/>
  <c r="O481" i="2"/>
  <c r="O489" i="2"/>
  <c r="O497" i="2"/>
  <c r="O505" i="2"/>
  <c r="O10" i="2"/>
  <c r="O18" i="2"/>
  <c r="O26" i="2"/>
  <c r="O34" i="2"/>
  <c r="O42" i="2"/>
  <c r="O50" i="2"/>
  <c r="O58" i="2"/>
  <c r="O66" i="2"/>
  <c r="O74" i="2"/>
  <c r="O82" i="2"/>
  <c r="O90" i="2"/>
  <c r="O98" i="2"/>
  <c r="O106" i="2"/>
  <c r="O114" i="2"/>
  <c r="O122" i="2"/>
  <c r="O130" i="2"/>
  <c r="O138" i="2"/>
  <c r="O146" i="2"/>
  <c r="O154" i="2"/>
  <c r="O162" i="2"/>
  <c r="O170" i="2"/>
  <c r="O178" i="2"/>
  <c r="O186" i="2"/>
  <c r="O194" i="2"/>
  <c r="O202" i="2"/>
  <c r="O210" i="2"/>
  <c r="O218" i="2"/>
  <c r="O226" i="2"/>
  <c r="O234" i="2"/>
  <c r="O242" i="2"/>
  <c r="O250" i="2"/>
  <c r="O258" i="2"/>
  <c r="O266" i="2"/>
  <c r="O274" i="2"/>
  <c r="O282" i="2"/>
  <c r="O290" i="2"/>
  <c r="O298" i="2"/>
  <c r="O306" i="2"/>
  <c r="O314" i="2"/>
  <c r="O322" i="2"/>
  <c r="O330" i="2"/>
  <c r="O338" i="2"/>
  <c r="O346" i="2"/>
  <c r="O354" i="2"/>
  <c r="O362" i="2"/>
  <c r="O370" i="2"/>
  <c r="O378" i="2"/>
  <c r="O386" i="2"/>
  <c r="O394" i="2"/>
  <c r="O402" i="2"/>
  <c r="O410" i="2"/>
  <c r="O418" i="2"/>
  <c r="O426" i="2"/>
  <c r="O434" i="2"/>
  <c r="O442" i="2"/>
  <c r="O450" i="2"/>
  <c r="O458" i="2"/>
  <c r="O466" i="2"/>
  <c r="O474" i="2"/>
  <c r="O482" i="2"/>
  <c r="O490" i="2"/>
  <c r="O498" i="2"/>
  <c r="O506" i="2"/>
  <c r="O2" i="2"/>
  <c r="A374" i="1" l="1"/>
  <c r="A375" i="1" s="1"/>
  <c r="A376" i="1" s="1"/>
  <c r="A377" i="1" s="1"/>
  <c r="A373" i="1"/>
  <c r="A174" i="1"/>
  <c r="A175" i="1" l="1"/>
  <c r="A378" i="1"/>
  <c r="A379" i="1" l="1"/>
  <c r="A176" i="1"/>
  <c r="A380" i="1" l="1"/>
  <c r="A177" i="1"/>
  <c r="A178" i="1" l="1"/>
  <c r="A381" i="1"/>
  <c r="A382" i="1" l="1"/>
  <c r="A179" i="1"/>
  <c r="A180" i="1" l="1"/>
  <c r="A383" i="1"/>
  <c r="A384" i="1" l="1"/>
  <c r="A181" i="1"/>
  <c r="A182" i="1" l="1"/>
  <c r="A385" i="1"/>
  <c r="A386" i="1" l="1"/>
  <c r="A183" i="1"/>
  <c r="A184" i="1" l="1"/>
  <c r="A387" i="1"/>
  <c r="A388" i="1" l="1"/>
  <c r="A185" i="1"/>
  <c r="A186" i="1" l="1"/>
  <c r="A389" i="1"/>
  <c r="A390" i="1" l="1"/>
  <c r="A187" i="1"/>
  <c r="A188" i="1" l="1"/>
  <c r="A391" i="1"/>
  <c r="A392" i="1" l="1"/>
  <c r="A393" i="1" l="1"/>
  <c r="A394" i="1" l="1"/>
  <c r="A395" i="1" l="1"/>
  <c r="A396" i="1" l="1"/>
  <c r="A397" i="1" l="1"/>
  <c r="A398" i="1" l="1"/>
  <c r="A399" i="1" l="1"/>
  <c r="A400" i="1" l="1"/>
  <c r="A401" i="1" l="1"/>
  <c r="A402" i="1" l="1"/>
  <c r="A403" i="1" l="1"/>
  <c r="A404" i="1" l="1"/>
  <c r="A405" i="1" l="1"/>
  <c r="A406" i="1" l="1"/>
  <c r="A407" i="1" l="1"/>
  <c r="A408" i="1" l="1"/>
  <c r="A409" i="1" l="1"/>
  <c r="A410" i="1" l="1"/>
  <c r="A411" i="1" l="1"/>
  <c r="A412" i="1" l="1"/>
  <c r="A413" i="1" l="1"/>
  <c r="A414" i="1" l="1"/>
  <c r="A415" i="1" l="1"/>
  <c r="A416" i="1" l="1"/>
  <c r="A417" i="1" l="1"/>
  <c r="A418" i="1" l="1"/>
  <c r="A419" i="1" l="1"/>
  <c r="A420" i="1" l="1"/>
  <c r="A421" i="1" l="1"/>
  <c r="A422" i="1" l="1"/>
  <c r="A423" i="1" l="1"/>
  <c r="A424" i="1" l="1"/>
  <c r="A425" i="1" l="1"/>
  <c r="A426" i="1" l="1"/>
  <c r="A427" i="1" l="1"/>
  <c r="A428" i="1" l="1"/>
  <c r="A429" i="1" l="1"/>
  <c r="A430" i="1" l="1"/>
  <c r="A431" i="1" l="1"/>
  <c r="A432" i="1" l="1"/>
  <c r="A433" i="1" l="1"/>
  <c r="A434" i="1" l="1"/>
  <c r="A435" i="1" l="1"/>
  <c r="A436" i="1" l="1"/>
  <c r="A437" i="1" l="1"/>
  <c r="A438" i="1" l="1"/>
  <c r="A439" i="1" l="1"/>
  <c r="A440" i="1" l="1"/>
  <c r="A441" i="1" l="1"/>
  <c r="A442" i="1" l="1"/>
  <c r="A443" i="1" l="1"/>
  <c r="A444" i="1" l="1"/>
  <c r="A445" i="1" l="1"/>
  <c r="A446" i="1" l="1"/>
  <c r="A447" i="1" l="1"/>
  <c r="A448" i="1" l="1"/>
  <c r="A449" i="1" l="1"/>
  <c r="A450" i="1" l="1"/>
  <c r="A451" i="1" l="1"/>
  <c r="A452" i="1" l="1"/>
  <c r="A453" i="1" l="1"/>
  <c r="A454" i="1" l="1"/>
  <c r="A455" i="1" l="1"/>
  <c r="A456" i="1" l="1"/>
  <c r="A457" i="1" l="1"/>
  <c r="A458" i="1" l="1"/>
  <c r="A459" i="1" l="1"/>
  <c r="A460" i="1" l="1"/>
  <c r="A461" i="1" l="1"/>
  <c r="A462" i="1" l="1"/>
  <c r="A463" i="1" l="1"/>
  <c r="A464" i="1" l="1"/>
  <c r="A465" i="1" l="1"/>
  <c r="A466" i="1" l="1"/>
  <c r="A467" i="1" l="1"/>
  <c r="A468" i="1" l="1"/>
  <c r="A469" i="1" l="1"/>
  <c r="A470" i="1" l="1"/>
  <c r="A471" i="1" l="1"/>
  <c r="A472" i="1" l="1"/>
  <c r="A473" i="1" l="1"/>
  <c r="A474" i="1" l="1"/>
  <c r="A475" i="1" l="1"/>
  <c r="A476" i="1" l="1"/>
  <c r="A477" i="1" l="1"/>
  <c r="A478" i="1" l="1"/>
  <c r="A479" i="1" l="1"/>
  <c r="A480" i="1" l="1"/>
  <c r="A481" i="1" l="1"/>
  <c r="A482" i="1" l="1"/>
  <c r="A483" i="1" l="1"/>
  <c r="A484" i="1" l="1"/>
  <c r="A485" i="1" l="1"/>
  <c r="A486" i="1" l="1"/>
  <c r="A487" i="1" l="1"/>
  <c r="A488" i="1" l="1"/>
  <c r="A489" i="1" l="1"/>
  <c r="A490" i="1" l="1"/>
  <c r="A491" i="1" l="1"/>
  <c r="A492" i="1" l="1"/>
  <c r="A493" i="1" l="1"/>
  <c r="A494" i="1" l="1"/>
  <c r="A495" i="1" l="1"/>
  <c r="A496" i="1" l="1"/>
  <c r="A497" i="1" l="1"/>
  <c r="A498" i="1" l="1"/>
  <c r="A499" i="1" l="1"/>
  <c r="A500" i="1" l="1"/>
  <c r="A501" i="1" l="1"/>
  <c r="A502" i="1" l="1"/>
  <c r="A503" i="1" l="1"/>
  <c r="A504" i="1" l="1"/>
  <c r="A505" i="1" l="1"/>
  <c r="A506" i="1" l="1"/>
  <c r="A507" i="1" l="1"/>
  <c r="A508" i="1" l="1"/>
  <c r="A509" i="1" l="1"/>
  <c r="A510" i="1" l="1"/>
  <c r="A511" i="1" l="1"/>
  <c r="A512" i="1" l="1"/>
  <c r="A513" i="1" l="1"/>
  <c r="A514" i="1" l="1"/>
  <c r="A515" i="1" l="1"/>
  <c r="A516" i="1" l="1"/>
  <c r="A517" i="1" l="1"/>
  <c r="A518" i="1" l="1"/>
  <c r="A519" i="1" l="1"/>
  <c r="A520" i="1" l="1"/>
  <c r="A521" i="1" l="1"/>
  <c r="A522" i="1" l="1"/>
  <c r="A523" i="1" l="1"/>
  <c r="A524" i="1" l="1"/>
  <c r="A525" i="1" l="1"/>
  <c r="A526" i="1" l="1"/>
  <c r="A527" i="1" l="1"/>
  <c r="A528" i="1" l="1"/>
  <c r="A529" i="1" l="1"/>
  <c r="A530" i="1" l="1"/>
  <c r="A531" i="1" l="1"/>
  <c r="A532" i="1" l="1"/>
  <c r="A533" i="1" l="1"/>
  <c r="A534" i="1" l="1"/>
  <c r="A535" i="1" l="1"/>
  <c r="A536" i="1" l="1"/>
  <c r="A537" i="1" l="1"/>
  <c r="A538" i="1" l="1"/>
  <c r="A539" i="1" l="1"/>
  <c r="A540" i="1" l="1"/>
  <c r="A541" i="1" l="1"/>
  <c r="A542" i="1" l="1"/>
  <c r="A543" i="1" l="1"/>
  <c r="A544" i="1" l="1"/>
  <c r="A545" i="1" l="1"/>
  <c r="A546" i="1" l="1"/>
  <c r="A547" i="1" l="1"/>
  <c r="A548" i="1" l="1"/>
  <c r="A549" i="1" l="1"/>
  <c r="A550" i="1" l="1"/>
  <c r="A551" i="1" l="1"/>
  <c r="A552" i="1" l="1"/>
  <c r="A553" i="1" l="1"/>
  <c r="A554" i="1" l="1"/>
  <c r="A555" i="1" l="1"/>
  <c r="A556" i="1" l="1"/>
  <c r="A557" i="1" l="1"/>
  <c r="A558" i="1" l="1"/>
  <c r="A559" i="1" l="1"/>
  <c r="A560" i="1" l="1"/>
  <c r="A561" i="1" l="1"/>
  <c r="A562" i="1" l="1"/>
  <c r="A563" i="1" l="1"/>
  <c r="A564" i="1" l="1"/>
  <c r="A565" i="1" l="1"/>
  <c r="A566" i="1" l="1"/>
  <c r="A567" i="1" l="1"/>
  <c r="A568" i="1" l="1"/>
  <c r="A569" i="1" l="1"/>
  <c r="A570" i="1" l="1"/>
  <c r="A571" i="1" l="1"/>
  <c r="A572" i="1" l="1"/>
  <c r="A573" i="1" l="1"/>
  <c r="A574" i="1" l="1"/>
  <c r="A575" i="1" l="1"/>
  <c r="A576" i="1" l="1"/>
  <c r="A577" i="1" l="1"/>
  <c r="A578" i="1" l="1"/>
  <c r="A579" i="1" l="1"/>
  <c r="A580" i="1" l="1"/>
  <c r="A581" i="1" l="1"/>
  <c r="A582" i="1" l="1"/>
  <c r="A583" i="1" l="1"/>
  <c r="A584" i="1" l="1"/>
  <c r="A585" i="1" l="1"/>
  <c r="A586" i="1" l="1"/>
  <c r="A587" i="1" l="1"/>
  <c r="A588" i="1" l="1"/>
  <c r="A589" i="1" l="1"/>
  <c r="A590" i="1" l="1"/>
  <c r="A591" i="1" l="1"/>
  <c r="A592" i="1" l="1"/>
  <c r="A593" i="1" l="1"/>
  <c r="A594" i="1" l="1"/>
  <c r="A595" i="1" l="1"/>
  <c r="A596" i="1" l="1"/>
  <c r="A597" i="1" l="1"/>
  <c r="A598" i="1" l="1"/>
  <c r="A599" i="1" l="1"/>
  <c r="A600" i="1" l="1"/>
  <c r="A601" i="1" l="1"/>
  <c r="A602" i="1" l="1"/>
  <c r="A603" i="1" l="1"/>
  <c r="A604" i="1" l="1"/>
  <c r="A605" i="1" l="1"/>
  <c r="A606" i="1" l="1"/>
  <c r="A607" i="1" l="1"/>
  <c r="A608" i="1" l="1"/>
  <c r="A609" i="1" l="1"/>
  <c r="A610" i="1" l="1"/>
  <c r="A611" i="1" l="1"/>
  <c r="A612" i="1" l="1"/>
  <c r="A613" i="1" l="1"/>
  <c r="A614" i="1" l="1"/>
  <c r="A615" i="1" l="1"/>
  <c r="A616" i="1" l="1"/>
  <c r="A617" i="1" l="1"/>
  <c r="A618" i="1" l="1"/>
  <c r="A619" i="1" l="1"/>
  <c r="A620" i="1" l="1"/>
  <c r="A621" i="1" l="1"/>
  <c r="A622" i="1" l="1"/>
  <c r="A623" i="1" l="1"/>
  <c r="A624" i="1" l="1"/>
  <c r="A625" i="1" l="1"/>
  <c r="A626" i="1" l="1"/>
</calcChain>
</file>

<file path=xl/sharedStrings.xml><?xml version="1.0" encoding="utf-8"?>
<sst xmlns="http://schemas.openxmlformats.org/spreadsheetml/2006/main" count="5662" uniqueCount="629">
  <si>
    <t xml:space="preserve"> t.</t>
  </si>
  <si>
    <t>Female Parent</t>
  </si>
  <si>
    <t>Male Parent</t>
  </si>
  <si>
    <t>UVA ID</t>
  </si>
  <si>
    <t>DOB</t>
  </si>
  <si>
    <t>Mutants</t>
  </si>
  <si>
    <t>Transgene 1</t>
  </si>
  <si>
    <t>Transgene 2</t>
  </si>
  <si>
    <t>Transgene 3</t>
  </si>
  <si>
    <t># of Embryos</t>
  </si>
  <si>
    <t>Owner</t>
  </si>
  <si>
    <t>Genotype</t>
  </si>
  <si>
    <t>AB*</t>
  </si>
  <si>
    <t>Bing</t>
  </si>
  <si>
    <t>NF1a+/-;NF1b+/-</t>
  </si>
  <si>
    <t>Tg(olig2:dsred)</t>
  </si>
  <si>
    <t>TW</t>
  </si>
  <si>
    <t>adora2aa(ct845)+/-, +/+; adora2ab (zfn)+/-;+/+</t>
  </si>
  <si>
    <t>adora2aa(ct845)+/-; adora2ab (zfn)+/-;+/+</t>
  </si>
  <si>
    <t>gpr126+/-,+/+</t>
  </si>
  <si>
    <t>Tg(mbp:egfp-caax)</t>
  </si>
  <si>
    <t>gpr126+/-</t>
  </si>
  <si>
    <t>Tg(Isl1:gfp)</t>
  </si>
  <si>
    <t>SK (TW)</t>
  </si>
  <si>
    <t>Tg(tnfa:gfp)</t>
  </si>
  <si>
    <t>Tg(pu1:Gal4)</t>
  </si>
  <si>
    <t>Tg(UAS:GFP)</t>
  </si>
  <si>
    <t>Sk (YZ)</t>
  </si>
  <si>
    <t>Tg(pu1:Gal4); Tg(UAS:GFP)</t>
  </si>
  <si>
    <t>Tg(pBH-UAS:secA5-YFP)</t>
  </si>
  <si>
    <t>SK (YZ)</t>
  </si>
  <si>
    <t>Tg(nkx2.2a:nls-mCherry)</t>
  </si>
  <si>
    <t>Tg(nkx2.2a:nls-EGFP)</t>
  </si>
  <si>
    <t>YZ</t>
  </si>
  <si>
    <t>Tg(sox10:TagRFP) F1</t>
  </si>
  <si>
    <t>Tg(sox10:TagRFP) F0</t>
  </si>
  <si>
    <t>Ray +/-;+/+</t>
  </si>
  <si>
    <t>Tg(sox10:mrfp)</t>
  </si>
  <si>
    <t>Tg(nkx2.2a:megfp)</t>
  </si>
  <si>
    <t>SK</t>
  </si>
  <si>
    <t>Ray +/-</t>
  </si>
  <si>
    <t>Tg(sox10:mrfp);Tg(nkx2.2a:megfp)</t>
  </si>
  <si>
    <t>SJL+/-;+/+</t>
  </si>
  <si>
    <t>SJL+/-</t>
  </si>
  <si>
    <t>Tg(hb9:egfp)</t>
  </si>
  <si>
    <t>tg(isl1:rfp)</t>
  </si>
  <si>
    <t>SK (LF)</t>
  </si>
  <si>
    <t>tg(nbt:dsred)</t>
  </si>
  <si>
    <t>plexinA3 +/+;+/-;-/-</t>
  </si>
  <si>
    <t>tg(sox10:nls-eos)</t>
  </si>
  <si>
    <t>LF</t>
  </si>
  <si>
    <t>plexinA3 +/-</t>
  </si>
  <si>
    <t>Casper</t>
  </si>
  <si>
    <t>casper</t>
  </si>
  <si>
    <t>tg(hb9:tagYFP-NTR)</t>
  </si>
  <si>
    <t>nrg1 z26 +/+;+/-;-/-</t>
  </si>
  <si>
    <t>nrg1z26 +/+;+/-;-/-</t>
  </si>
  <si>
    <t>tg(sox10:eos)</t>
  </si>
  <si>
    <t>tg(sox10:gal4)</t>
  </si>
  <si>
    <t>tg(UAS:lifeAct-GFP)</t>
  </si>
  <si>
    <t>tg(sox10:gal4):tg(UAS:lifeAct-GFP)</t>
  </si>
  <si>
    <t>tg(UAS:hNrg1typeIII)</t>
  </si>
  <si>
    <t>lingo1b +/+;+/-</t>
  </si>
  <si>
    <t>lingo1b f0</t>
  </si>
  <si>
    <t>tg(UAS:hNrg1typeIII):tg(sox10:nls-eos)</t>
  </si>
  <si>
    <t>lingo1a +/+;+/-</t>
  </si>
  <si>
    <t xml:space="preserve">lingo1a+/- </t>
  </si>
  <si>
    <t>erbb3b st48 +/+;+/-;-/-</t>
  </si>
  <si>
    <t>erbb3b +/-</t>
  </si>
  <si>
    <t>erbb3b st48 +/-</t>
  </si>
  <si>
    <t>tg(olig2:dsred2)</t>
  </si>
  <si>
    <t>tg(mnx1:mcerulean)</t>
  </si>
  <si>
    <t>tg(sox10:gal4);(cmlc2:GFP)</t>
  </si>
  <si>
    <t>tg(UAS:mcherry)</t>
  </si>
  <si>
    <t>tg(sox10:gal4);tg(UAS:mcherry);tg(UAS:lifeAct-GFP)</t>
  </si>
  <si>
    <t>dbx-1:GFP</t>
  </si>
  <si>
    <t>SK (common)</t>
  </si>
  <si>
    <t>cls (+/- ; -/-)</t>
  </si>
  <si>
    <t>nkx2.2a:meGFP</t>
  </si>
  <si>
    <t>tg(hb9:meGFP)</t>
  </si>
  <si>
    <t>SK(commom)</t>
  </si>
  <si>
    <t>SK(common)</t>
  </si>
  <si>
    <t>WIK</t>
  </si>
  <si>
    <t>3071/3085</t>
  </si>
  <si>
    <t>Tg(sox10:nls-EOS)</t>
  </si>
  <si>
    <t>AB</t>
  </si>
  <si>
    <t>Tg(sox10:nls-EOS); Tg(gfap:nfsb-mCherry)</t>
  </si>
  <si>
    <t>Tg(sox10:EOS)</t>
  </si>
  <si>
    <t>Tg(sox10:EOS); Tg(gfap:nfsb-mCherry)</t>
  </si>
  <si>
    <t>Tg(gfap:nfsb-mCherry)</t>
  </si>
  <si>
    <t>2841/2481</t>
  </si>
  <si>
    <t>Tg(sox10:TagRFP) F2</t>
  </si>
  <si>
    <t>Tg(sox10:Gal4); (cmlc2:GFP)</t>
  </si>
  <si>
    <t>Tg(sox10:Gal4);(cmlc2:GFP); Tg(UAS:mCherry); Tg(UAS:2xFYVE-GFP)</t>
  </si>
  <si>
    <t>Tg(sox10:Gal4);(cmlc2:GFP)</t>
  </si>
  <si>
    <t>Tg(UAS:mCherry)</t>
  </si>
  <si>
    <t>Tg(UAS:2xFYVE-GFP)</t>
  </si>
  <si>
    <t>Tg(nkx2.2a:Gal4);(cmlc2:GFP)</t>
  </si>
  <si>
    <t>2140/2054</t>
  </si>
  <si>
    <t>Tg(nkx2.2a:Gal4); Tg(UAS:Lifeact-GFP)/Tg(UAS:Kaede)</t>
  </si>
  <si>
    <t>Tg(UAS:kaede)</t>
  </si>
  <si>
    <t>Tg(nkx2.2a:Gal4);(cmlc2:GFP);Tg(UAS:Kaede)</t>
  </si>
  <si>
    <t>Tg(mnx:mCerulean3)</t>
  </si>
  <si>
    <t>Tg(nks2.2a:Gal4);(cmlc2:GFP); Tg(mnx:mCerulean3)</t>
  </si>
  <si>
    <t>Tg(UAS:Lifeact-GFP)</t>
  </si>
  <si>
    <t>AB old</t>
  </si>
  <si>
    <t>Tg(olig2:DsRed)</t>
  </si>
  <si>
    <t xml:space="preserve">Tg(mnx1:MCERULEAN3) </t>
  </si>
  <si>
    <t>KA</t>
  </si>
  <si>
    <t>Tg(mnx1:MCERULEAN3)</t>
  </si>
  <si>
    <t>Tg(nkx2.2a:MEGFP)</t>
  </si>
  <si>
    <t>Tg(nkx2.2a:MEGFP); Tg(sox10:MRFP)</t>
  </si>
  <si>
    <t>Tg(sox10:MRFP)</t>
  </si>
  <si>
    <t>cal gw71+/+; +/-; -/-</t>
  </si>
  <si>
    <t>DL</t>
  </si>
  <si>
    <t>cal gw71+/-</t>
  </si>
  <si>
    <t>ftl +/+; +/-</t>
  </si>
  <si>
    <t>Tg[olig2:dsRed]</t>
  </si>
  <si>
    <t>ftl +/-</t>
  </si>
  <si>
    <t>PAM +/+; +/-</t>
  </si>
  <si>
    <t>PAM +/-</t>
  </si>
  <si>
    <t>Tg[nkx2.2a:mGFP]</t>
  </si>
  <si>
    <t>sco2 +/+; +/-; -/-</t>
  </si>
  <si>
    <t>sco2 +/-</t>
  </si>
  <si>
    <t>coa6 +/+; +/-; -/-</t>
  </si>
  <si>
    <t>coa6 +/-</t>
  </si>
  <si>
    <t>cal vu69 +/+; +/-</t>
  </si>
  <si>
    <t>Tg[olig2:EGFP]</t>
  </si>
  <si>
    <t>Tg[aldoca:mcherry]</t>
  </si>
  <si>
    <t>cal vu69 +/-</t>
  </si>
  <si>
    <t>Tg[olig2:EGFP; aldoca:mcherry]</t>
  </si>
  <si>
    <t>Tg[aldoca:mGFP]</t>
  </si>
  <si>
    <t>ctr1 +/+; +/-</t>
  </si>
  <si>
    <t>ctr1 +/-</t>
  </si>
  <si>
    <t>Tg[nkx2.2a:nls-EGFP]</t>
  </si>
  <si>
    <t>Tg[ctslb:EGFP]</t>
  </si>
  <si>
    <t>Tg[foxd3:mcherry]</t>
  </si>
  <si>
    <t>SK(DL)</t>
  </si>
  <si>
    <t>stl64 +/+; +/-</t>
  </si>
  <si>
    <t>Tg[sox10:mrfp]</t>
  </si>
  <si>
    <t>MA</t>
  </si>
  <si>
    <t>stl +/-</t>
  </si>
  <si>
    <t>stl+/-</t>
  </si>
  <si>
    <t>dcc +/+;+/-</t>
  </si>
  <si>
    <t>dcc +/-</t>
  </si>
  <si>
    <t>Tg[olig2:dsred]</t>
  </si>
  <si>
    <t>dcc+/-</t>
  </si>
  <si>
    <t>nf1a +/+,+/-; nf1b -/-</t>
  </si>
  <si>
    <t>Tg[sox10:megfp]</t>
  </si>
  <si>
    <t>nf1a +/-; nf1b -/-</t>
  </si>
  <si>
    <t>nf1a+/-; nf1b-/-</t>
  </si>
  <si>
    <t>efnb2a +/-</t>
  </si>
  <si>
    <t>misc</t>
  </si>
  <si>
    <t>dcc +/+; +/-</t>
  </si>
  <si>
    <t>Tg[mbp:EGFP-CAAX]</t>
  </si>
  <si>
    <t>efnb2a +/+; +/-</t>
  </si>
  <si>
    <t>Tg[sox10:eos]</t>
  </si>
  <si>
    <t>Tg[sox10:nls-eos]</t>
  </si>
  <si>
    <t>efnb2a+/-</t>
  </si>
  <si>
    <t>CASPER</t>
  </si>
  <si>
    <t>NF1a+/+;NF1b+/-</t>
  </si>
  <si>
    <t>tg(nkx2.2a:megfp)</t>
  </si>
  <si>
    <t>tg(sox10:mrfp)</t>
  </si>
  <si>
    <t>Tg(nkx2.2a:megfp); tg(sox10:mrfp)</t>
  </si>
  <si>
    <t>tg(ctgfa:egfp)</t>
  </si>
  <si>
    <t>SK(MA)</t>
  </si>
  <si>
    <t>Tg[nbt:dsred]</t>
  </si>
  <si>
    <t>stl +/+,+/-</t>
  </si>
  <si>
    <t>stl64 +/+, +/-</t>
  </si>
  <si>
    <t>stl64+/+, +/-</t>
  </si>
  <si>
    <t>Tg[mbp:egfp-caax]</t>
  </si>
  <si>
    <t>Tg[cntn1b:mcherry]</t>
  </si>
  <si>
    <t>SK(YZ)</t>
  </si>
  <si>
    <t>Tg(mpeg1:GFP)</t>
  </si>
  <si>
    <t>Tg(mpeg1:mCherry)</t>
  </si>
  <si>
    <t>2850/2782</t>
  </si>
  <si>
    <t>Tg(sox10:Gal4);(cmlc2:GFP); Tg(UAS:GFP)</t>
  </si>
  <si>
    <t>Tg(olig2:egfp)</t>
  </si>
  <si>
    <t>SK(TW)</t>
  </si>
  <si>
    <t>Tg(ngn:gfp)</t>
  </si>
  <si>
    <t>tg(mbp:egfp-caax)</t>
  </si>
  <si>
    <t>tg(sox10:gal4);tg(UAS:lifeAct-GFP)</t>
  </si>
  <si>
    <t>lingo1b +/-;+/+</t>
  </si>
  <si>
    <t>tg(olig2:egfp)</t>
  </si>
  <si>
    <t>tg(UAS:hNrg1typeIII);tg(sox10:nls-eos)</t>
  </si>
  <si>
    <t>gpr126 +/+;+/-;-/-</t>
  </si>
  <si>
    <t>gpr126 +/-</t>
  </si>
  <si>
    <t>tg(mbp:egfp-caax);tg(olig2:dsred2)</t>
  </si>
  <si>
    <t>wif1 +/+;+/-</t>
  </si>
  <si>
    <t>wif1 +/-</t>
  </si>
  <si>
    <t>tg(neuroD:gal4);(cmlc2:gfp)</t>
  </si>
  <si>
    <t>tg(neuroD:gal4),(cmlc2:gfp)</t>
  </si>
  <si>
    <t>sox10:meGFP</t>
  </si>
  <si>
    <t>ATS (from MA)</t>
  </si>
  <si>
    <t>cls (+/+,+/-)</t>
  </si>
  <si>
    <t>SK (ATS)</t>
  </si>
  <si>
    <t>2770, 2769</t>
  </si>
  <si>
    <t>tg(ubi:cas9)</t>
  </si>
  <si>
    <t>tg(cmcl2:gfp)</t>
  </si>
  <si>
    <t>tg(ubi:cas9);tg(cmcl2:gfp)</t>
  </si>
  <si>
    <t>hb9:meGFP</t>
  </si>
  <si>
    <t>tg(mnx1:mcerulean3)</t>
  </si>
  <si>
    <t>Tg[bact2:ER-tomato]</t>
  </si>
  <si>
    <t>Tg[bact2:Galt-EGFP]</t>
  </si>
  <si>
    <t>Tg[bact2:ER-tomato; bact2:Galt-EGFP]</t>
  </si>
  <si>
    <t>Tg[SAGFF(LF)73A;UAS:EGFP]</t>
  </si>
  <si>
    <t>Tg[SAGFF(LF)73A; UAS:EGFP]</t>
  </si>
  <si>
    <t>tg(olig2:dsred)</t>
  </si>
  <si>
    <t>Tg[sox10:mRFP]</t>
  </si>
  <si>
    <t>Tg[sox10:mEGFP]</t>
  </si>
  <si>
    <t>KA (ATS)</t>
  </si>
  <si>
    <t>Tg[GFAP:EGFP]</t>
  </si>
  <si>
    <t>SK (DL)</t>
  </si>
  <si>
    <t>ftl+/+;+/-</t>
  </si>
  <si>
    <t>ftl+/-</t>
  </si>
  <si>
    <t>AB-Paw</t>
  </si>
  <si>
    <t>Tg[sox10:GAL4]</t>
  </si>
  <si>
    <t>Tg[UAS:lifeact-GFP]</t>
  </si>
  <si>
    <t>Tg[sox10:GAL4];Tg[UAS:lifeact-GFP]</t>
  </si>
  <si>
    <t>Tg(UAS:GFP-2xFYVE)</t>
  </si>
  <si>
    <t>Tg(sox10:Gal4);(cmlc2:GFP); Tg(UAS:GFP-2xFYVE)</t>
  </si>
  <si>
    <t>2140/3052</t>
  </si>
  <si>
    <t>Tg(nkx2.2a:Gal4);(cmlc2:GFP)/Tg(UAS:Lifeact-GFP)</t>
  </si>
  <si>
    <t>Tg(pBH-UAS:SecA5-YFP)</t>
  </si>
  <si>
    <t>Tg(sox10:lamp1-GFP);(cmlc2:GFP)</t>
  </si>
  <si>
    <t>2229/2841</t>
  </si>
  <si>
    <t>2260/2847</t>
  </si>
  <si>
    <t>2752/2841</t>
  </si>
  <si>
    <t>Tg(sox10:EOS)/Tg(sox10:EOS); Tg(gfap:nfsb-mCherry)</t>
  </si>
  <si>
    <t>2800/2866</t>
  </si>
  <si>
    <t>2699/2363</t>
  </si>
  <si>
    <t>Tg(UAS:lifeact-GFP)</t>
  </si>
  <si>
    <t>Tg(nkx2.2a:Gal4);(cmlc2:GFP); Tg(UAS:lifeact-GFP)</t>
  </si>
  <si>
    <t>tg(neuroD:gal4);(cmcl2:gfp)</t>
  </si>
  <si>
    <t>SK(LF)</t>
  </si>
  <si>
    <t>tg(nkx2.2a:megfp);tg(sox10:mrfp)</t>
  </si>
  <si>
    <t>tg(mpz:gfp)</t>
  </si>
  <si>
    <t>nkx2.2:meGFP</t>
  </si>
  <si>
    <t>1772; 2400; 2960</t>
  </si>
  <si>
    <t>AB* (2960)</t>
  </si>
  <si>
    <t>nkx2.2a:meGFP (1772); nkx2.2:meGFP/olig2:dsRed (2400)</t>
  </si>
  <si>
    <t>2960; 2061; 1772; 2483</t>
  </si>
  <si>
    <t>nkx2.2a:meGFP/olig2:dsRed (2061); nkx2.2a:meGFP (1772); nkx2.2ameGFP (2483)</t>
  </si>
  <si>
    <t>2682;2769</t>
  </si>
  <si>
    <t>cls (+/+,-/-)</t>
  </si>
  <si>
    <t>2390; 2960</t>
  </si>
  <si>
    <t>hb9:meGFP(2390)</t>
  </si>
  <si>
    <t>2960;2021</t>
  </si>
  <si>
    <t>hb9:meGFP(2021)</t>
  </si>
  <si>
    <t>mbp:GFP</t>
  </si>
  <si>
    <t>nbt:dsRed</t>
  </si>
  <si>
    <t>ATS</t>
  </si>
  <si>
    <t>olig2:dsRed</t>
  </si>
  <si>
    <t>nkx2.2a:meGFP/olig2:dsRed</t>
  </si>
  <si>
    <t>cls(-/-)</t>
  </si>
  <si>
    <t>cls(+/+,-/-)</t>
  </si>
  <si>
    <t>2513;2748</t>
  </si>
  <si>
    <t>AB* (2513)</t>
  </si>
  <si>
    <t>sox10:meGFP(2748)</t>
  </si>
  <si>
    <t>2412;2513</t>
  </si>
  <si>
    <t>sox10:meGFP(2412)</t>
  </si>
  <si>
    <t>2748;2513</t>
  </si>
  <si>
    <t xml:space="preserve">sox10:meGFP </t>
  </si>
  <si>
    <t>2116; 2995; 2681</t>
  </si>
  <si>
    <t>AB*(2995)</t>
  </si>
  <si>
    <t>sox10:meGFP(2116; 2681)</t>
  </si>
  <si>
    <t>2912;2681</t>
  </si>
  <si>
    <t>AB*(2912)</t>
  </si>
  <si>
    <t>sox10:meGFP(2681)</t>
  </si>
  <si>
    <t>tg[sox10:mrfp]</t>
  </si>
  <si>
    <t>Tg(mnx1:mcerulean3)</t>
  </si>
  <si>
    <t>Tg(hb9:tagYFP-ntr)</t>
  </si>
  <si>
    <t>Tg(sox10:eos)</t>
  </si>
  <si>
    <t>Tg(sox10:eos) F1</t>
  </si>
  <si>
    <t>Lingo1a +/+;+/-</t>
  </si>
  <si>
    <t>Tg(olig2:dsred2)</t>
  </si>
  <si>
    <t>UNSORTED</t>
  </si>
  <si>
    <t>Lingo1a +/-</t>
  </si>
  <si>
    <t>Lingo1b +/+;+/-</t>
  </si>
  <si>
    <t>Tg(sox10:nls-eos)</t>
  </si>
  <si>
    <t>Lingo1b F0</t>
  </si>
  <si>
    <t>Nrg1z26 +/+;+/-</t>
  </si>
  <si>
    <t>Nrg1z26 +/-</t>
  </si>
  <si>
    <t>Tg(mpz:gfp)</t>
  </si>
  <si>
    <t>Gpr126+/+;+/-</t>
  </si>
  <si>
    <t>Tg(olig2:dsred2);Tg(mbp:egfp-caax)</t>
  </si>
  <si>
    <t>PlexinA3+/+;+/-</t>
  </si>
  <si>
    <t>Tg(nbt:dsred)</t>
  </si>
  <si>
    <t>PlexinA3 +/-</t>
  </si>
  <si>
    <t>Lingo1a+/-</t>
  </si>
  <si>
    <t>adora2aa+/-,+/+;adora2ab (ZFN)+/-,+/+</t>
  </si>
  <si>
    <t>adora2aa+/-;adora2ab(ZFN)?</t>
  </si>
  <si>
    <t>adora2aa+/-;adora2ab (ZFN)+/-,+/+</t>
  </si>
  <si>
    <t>adora2aa-/-;adora2ab(ZFN)?</t>
  </si>
  <si>
    <t>Tg(nfkb:gfp)</t>
  </si>
  <si>
    <t>Tg(sox10:Gal4);(cmlc2:GFP);Tg(UAS:GFP-2xFYVE)</t>
  </si>
  <si>
    <t>Tg(sox10:Gal4);(cmlc2:GFP); Tg(UAS:mCherry)</t>
  </si>
  <si>
    <t>Tg(sox10:TagRFP)</t>
  </si>
  <si>
    <t>SK(ATS)</t>
  </si>
  <si>
    <t>2390/2960</t>
  </si>
  <si>
    <t>AB*(2960)</t>
  </si>
  <si>
    <t>2021/2960</t>
  </si>
  <si>
    <t>1787/2960/(2771/2453)</t>
  </si>
  <si>
    <t>dbx-1:GFP(1787/2771/2453)</t>
  </si>
  <si>
    <t>1787/2960</t>
  </si>
  <si>
    <t>dbx-1:GFP(1787)</t>
  </si>
  <si>
    <t>sox10:eos</t>
  </si>
  <si>
    <t>cls(+/+,+/-)</t>
  </si>
  <si>
    <t>2682/2769</t>
  </si>
  <si>
    <t>Tg[crip3(3.1):TagRFPpA] injected</t>
  </si>
  <si>
    <t>Tg[cmlc2:EGFP] injected</t>
  </si>
  <si>
    <t>Clu(5.8):tagRFP; cmcl2:egfp F0</t>
  </si>
  <si>
    <t>2682/2960</t>
  </si>
  <si>
    <t>cls(+/+,+/-) (2682)</t>
  </si>
  <si>
    <t>SK (MA)</t>
  </si>
  <si>
    <t>AB *</t>
  </si>
  <si>
    <t xml:space="preserve">Bing </t>
  </si>
  <si>
    <t>Et[E1b:GAL4-VP16] (s1101tET)</t>
  </si>
  <si>
    <t>Tg[UAS-E1b:Kaede] (s1999tTg)</t>
  </si>
  <si>
    <t>from sperm</t>
  </si>
  <si>
    <t>s1101tEt; s1999tTg</t>
  </si>
  <si>
    <t>ctr1+/+;+/-</t>
  </si>
  <si>
    <t>ctr1+/-</t>
  </si>
  <si>
    <t>PAM+/+;+/-</t>
  </si>
  <si>
    <t>PAM+/-</t>
  </si>
  <si>
    <t>crip3 exon 1 sgRNA F0</t>
  </si>
  <si>
    <t>ndrg3a exon 2 sgRNA F0</t>
  </si>
  <si>
    <t>Tg(sox10:zFlp) F0</t>
  </si>
  <si>
    <t>lingo1b F0</t>
  </si>
  <si>
    <t>Tg(olig2:eGFP)</t>
  </si>
  <si>
    <t>unsorted</t>
  </si>
  <si>
    <t>Tg(fli1a:EGFP)</t>
  </si>
  <si>
    <t>ZIRC y1Tg ix</t>
  </si>
  <si>
    <t>adora2aa +/-:++;adora2ab+/-,+/+ (-10bp)</t>
  </si>
  <si>
    <t>adora2ab+/- (-10)</t>
  </si>
  <si>
    <t>adora2aa+/-</t>
  </si>
  <si>
    <t>adora2aa +/-:++;adora2ab+/-,+/+ (-13bp)</t>
  </si>
  <si>
    <t>adora2aa +/-</t>
  </si>
  <si>
    <t>adora2ab+/- (-13)</t>
  </si>
  <si>
    <t>adora2aa +/-:++;adora2ab+/-,+/+ (-52bp)</t>
  </si>
  <si>
    <t>adora2ab+/- (-52)</t>
  </si>
  <si>
    <t>Tg[sox10:H2A-mcherry]</t>
  </si>
  <si>
    <t>from Voigt lab</t>
  </si>
  <si>
    <t>Tg[sox10:nls-EOS]</t>
  </si>
  <si>
    <t>coa6+/+;+/-;-/-</t>
  </si>
  <si>
    <t>coa6+/-</t>
  </si>
  <si>
    <t>Tg(sox10:zFlp)</t>
  </si>
  <si>
    <t>Tg(eab2:zFlp) F0</t>
  </si>
  <si>
    <t>isl-1:GFP</t>
  </si>
  <si>
    <t>Tg[sox10:mGFP]</t>
  </si>
  <si>
    <t>Tg[gfap:mfsb-mcherry]</t>
  </si>
  <si>
    <t>Tg[gfap:mfsb-mcherry;sox10:EOS]</t>
  </si>
  <si>
    <t>ray +/-;+/+</t>
  </si>
  <si>
    <t>ray+/-</t>
  </si>
  <si>
    <t>Tg(nkx2.2a:megfp);Tg(sox10:mrfp)</t>
  </si>
  <si>
    <t>sjl+/-;+/+</t>
  </si>
  <si>
    <t>sjl+/-</t>
  </si>
  <si>
    <t>(bact:Phlare.2; cmlc2:GFP) inj</t>
  </si>
  <si>
    <t>Tg(eab2:zFlp)</t>
  </si>
  <si>
    <t>Ki(eab2:GG)</t>
  </si>
  <si>
    <t>Ki(eab2:AA)</t>
  </si>
  <si>
    <t>adora2aa+/-,+/+; adora2ab+/-,+/+ (-13bp)</t>
  </si>
  <si>
    <t>tg(olig2:dsred2) UNSORTED</t>
  </si>
  <si>
    <t>adora2ab+/- (-13bp)</t>
  </si>
  <si>
    <t>Tg(ndrg3a(5.2):TagRFP) F0</t>
  </si>
  <si>
    <t>?</t>
  </si>
  <si>
    <t>krox20fh227  +/+;+/-;-/-(Monk lab, OHSU)</t>
  </si>
  <si>
    <t>adults</t>
  </si>
  <si>
    <t>Monk lab, OHSU</t>
  </si>
  <si>
    <t>krox20fh227+/-</t>
  </si>
  <si>
    <t>Tg(eab2:FRT-eGFP-FRT-mApple) F0</t>
  </si>
  <si>
    <t>adora2c CRISPR f0</t>
  </si>
  <si>
    <t>Ki(eab2:AG)</t>
  </si>
  <si>
    <t>Ki(eab2:GA)</t>
  </si>
  <si>
    <t>adora2aa+/-,+/+; adora2ab (-52bp)+/-,+/+</t>
  </si>
  <si>
    <t>adora2ab+/- (-52bp)</t>
  </si>
  <si>
    <t>adora2aa+/-,+/+; adora2ab (+66bp)+/-,+/+</t>
  </si>
  <si>
    <t>adora2ab+/- (+66bp)</t>
  </si>
  <si>
    <t>Tg(sox10:gal4);(cmlc2:GFP)</t>
  </si>
  <si>
    <t>EB</t>
  </si>
  <si>
    <t>6/7/0208</t>
  </si>
  <si>
    <t>Tg(sox10:gal4);(cmlc2:GFP);(UAS:mCherry)</t>
  </si>
  <si>
    <t>nf1a+/-;nf1b+/-</t>
  </si>
  <si>
    <t>Tg(eab2:FRT-eGFP-FRT-mApple)</t>
  </si>
  <si>
    <t>neuroD:GcAMP3 f0</t>
  </si>
  <si>
    <t>Tg(sox10:mRFP)</t>
  </si>
  <si>
    <t>Tg(SAGFF(LF)73A)</t>
  </si>
  <si>
    <t>UAS:GFP</t>
  </si>
  <si>
    <t>Tg(SAGFF(LF)73A;UAS:GFP)</t>
  </si>
  <si>
    <t>tg(sox10:gal4);tg(UAS:mcherry)</t>
  </si>
  <si>
    <t>tg(nkx2.2a:MEGFP)</t>
  </si>
  <si>
    <t>nkx2.2a:megfp</t>
  </si>
  <si>
    <t>olig2:dsred</t>
  </si>
  <si>
    <t>SK (KA)</t>
  </si>
  <si>
    <t>mnx1:mcerulean3</t>
  </si>
  <si>
    <t>nkx2.2a:megfp;olig2:dsred</t>
  </si>
  <si>
    <t>nkx2.2a:megfp;sox10:mrfp</t>
  </si>
  <si>
    <t>Tg[olig2:egfp]</t>
  </si>
  <si>
    <t>nf1a+/-,+/+; nf1b-/-</t>
  </si>
  <si>
    <t>nf1a+/-,nf1b-/-</t>
  </si>
  <si>
    <t>krox20 fh227 +/-; +/+</t>
  </si>
  <si>
    <t>ZIRC</t>
  </si>
  <si>
    <t>tg(sox10:gal4VP16)</t>
  </si>
  <si>
    <t>tg(uas:mcherry-NTR)</t>
  </si>
  <si>
    <t>Crump lab</t>
  </si>
  <si>
    <t>Tg(elav:GCaMP6s)</t>
  </si>
  <si>
    <t>Douglass lab</t>
  </si>
  <si>
    <t>Tg(zubi:zFlp)</t>
  </si>
  <si>
    <t>Tg(olig2:DsRED)</t>
  </si>
  <si>
    <t>2752/4075</t>
  </si>
  <si>
    <t>Tg(olig2:dsRED)</t>
  </si>
  <si>
    <t>Tg(GFAP:EGFP)</t>
  </si>
  <si>
    <t>Tg(sox10:Gal4)(cmlc2:GFP)</t>
  </si>
  <si>
    <t>Tg(sox10:Gal4)(cmlc2:GFP); Tg(UAS:GFP-2xFYVE)</t>
  </si>
  <si>
    <t>bact:Gal4 inj</t>
  </si>
  <si>
    <t>wif1 CRISPR exon1 f0</t>
  </si>
  <si>
    <t>ctr1+/+;+/-; coa6+/+;+/-;-/-</t>
  </si>
  <si>
    <t>ctr1+/-;coa6+/-</t>
  </si>
  <si>
    <t>ctr1-/-; coa6+/+;+/-;-/-</t>
  </si>
  <si>
    <t>coa6+/+;+/-;-/-; sco2+/+;+/-;-/-</t>
  </si>
  <si>
    <t>coa6+/-;sco2+/-</t>
  </si>
  <si>
    <t>ndrg3a CRISPR F0</t>
  </si>
  <si>
    <t>Tg(sox10:GCaMP5)</t>
  </si>
  <si>
    <t>wif1 CRISPR ex1 f0</t>
  </si>
  <si>
    <t>olig1:tagRFP f0</t>
  </si>
  <si>
    <t xml:space="preserve">erbb3b st48 +/+; +/- </t>
  </si>
  <si>
    <t>nrg1 z26 +/+; +/-</t>
  </si>
  <si>
    <t>nrg1 z26 +/-</t>
  </si>
  <si>
    <t>Tg(isl-1:GFP)</t>
  </si>
  <si>
    <t>2513/2867</t>
  </si>
  <si>
    <t>Tg(isl-1:GFP)(2867)</t>
  </si>
  <si>
    <t>Tg(UAS:GCaMP5)</t>
  </si>
  <si>
    <t>slc7a7 +/-; +/-</t>
  </si>
  <si>
    <t>Voigt lab</t>
  </si>
  <si>
    <t>slc7a7 +/-</t>
  </si>
  <si>
    <t>Tg(mpeg1:NTR-eYFP)</t>
  </si>
  <si>
    <t>Parichy lab</t>
  </si>
  <si>
    <t>nkx2.2a -/+</t>
  </si>
  <si>
    <t>ZIRC Sa23158 HE Parsons 10742</t>
  </si>
  <si>
    <t>nkx2.2a -/+ +/+</t>
  </si>
  <si>
    <t>HE Parsons 11150</t>
  </si>
  <si>
    <t>nf1a+/-;nf1b-/-</t>
  </si>
  <si>
    <t>nf1a+/+;nf1b+/-</t>
  </si>
  <si>
    <t>mpeg1:rttA; cmlc2:GFP inj.</t>
  </si>
  <si>
    <t>TRE:BELMO inj.</t>
  </si>
  <si>
    <t>Tg(HuC:GCaMP6s)</t>
  </si>
  <si>
    <t>1.6 met CRISPR</t>
  </si>
  <si>
    <t>adora2c f1</t>
  </si>
  <si>
    <t>adora2c f0 (male1)</t>
  </si>
  <si>
    <t>Tg(ctgfa:egfp)</t>
  </si>
  <si>
    <t>Tg(cd59:TagRFP)</t>
  </si>
  <si>
    <t>Tg(eab2:FRT-EGFP-FRT-mApple)</t>
  </si>
  <si>
    <t>4229/4009</t>
  </si>
  <si>
    <t>AB* (paw)</t>
  </si>
  <si>
    <t>AB Paw</t>
  </si>
  <si>
    <t>adora2ab(-52)+/+;+/-, adora2c F1</t>
  </si>
  <si>
    <t>adora2ab (-52) +/-</t>
  </si>
  <si>
    <t>adora2c F0</t>
  </si>
  <si>
    <t>lingo1b F1</t>
  </si>
  <si>
    <t>Tg(uas-RCaMP1h)(cmlc2:egfp)</t>
  </si>
  <si>
    <t>Tg(uas-iGluSnFr)(cmlc2:egfp)</t>
  </si>
  <si>
    <t>nf1b-/-</t>
  </si>
  <si>
    <t>Tg(nbt:dsRed)</t>
  </si>
  <si>
    <t>Tg(sox10:meGFP)</t>
  </si>
  <si>
    <t>Tg(gfap:egfp)</t>
  </si>
  <si>
    <t>crip3 CRISPR F0</t>
  </si>
  <si>
    <t>cal vu69+/+;+/-</t>
  </si>
  <si>
    <t>cal vu69+/-</t>
  </si>
  <si>
    <t>Tg(olig2:EGFP)</t>
  </si>
  <si>
    <t>Tg(aldoca:mcherry)</t>
  </si>
  <si>
    <t>Tg(olig2:EGFP; aldoca:mcherry)</t>
  </si>
  <si>
    <t>ctr1 CRISPR F0</t>
  </si>
  <si>
    <t>Tg(hsp70l:Dkk1b-GFP)w32t</t>
  </si>
  <si>
    <t>Tg(7xTCF-Xla.Siam:nls-mCherry)ia5</t>
  </si>
  <si>
    <t>Tg(neuroD:gal4);(cmlc2:egfp)</t>
  </si>
  <si>
    <t>Tg(uas:iGluSnFr)</t>
  </si>
  <si>
    <t>Tg(bact:Gal4) founder #1 -/+ / -/-</t>
  </si>
  <si>
    <t>Tg(pBH-UAS:secA5-YFP) -/+ / -/-</t>
  </si>
  <si>
    <t>Tg(bact:Gal4) founder #1; Tg(pBH-UAS:secA5-YFP)</t>
  </si>
  <si>
    <t>cd59 CRISPR F0 sgRNA #1 (AB*)</t>
  </si>
  <si>
    <t>tg(sox10:tagRFP)</t>
  </si>
  <si>
    <t>Tg(sox10:RCaMP1h)</t>
  </si>
  <si>
    <t>Tg(nkx2.2a:gal4)</t>
  </si>
  <si>
    <t>Tg(UAS:NTR-mcherry)</t>
  </si>
  <si>
    <t>tg(nkx2.2a:gal4);tg(cmlc2:gfp)</t>
  </si>
  <si>
    <t xml:space="preserve">cd59 CRISPR F0 sgRNA #1 </t>
  </si>
  <si>
    <t>tg(sox10:meGFP)</t>
  </si>
  <si>
    <t>tg(olig2:eGFP)</t>
  </si>
  <si>
    <t>2658/2904</t>
  </si>
  <si>
    <t>Tg(zubi:zFlp)uva18 F1</t>
  </si>
  <si>
    <t>Tg(zubi:zFlp)uva17 F1</t>
  </si>
  <si>
    <t>Tg(eab2:FRT-GFP-FRT-mApple)uva14 F1</t>
  </si>
  <si>
    <t>Tg(sox10:zFlp)uva10 F1</t>
  </si>
  <si>
    <t>Tg(eab2:zFlp)uva12 F1</t>
  </si>
  <si>
    <t>Tg(eab2:zFlp)uva13 F1</t>
  </si>
  <si>
    <t>sco2+/+;+/-</t>
  </si>
  <si>
    <t>3139/4100</t>
  </si>
  <si>
    <t>sco2+/-</t>
  </si>
  <si>
    <t>Tg(sox10:iGluSnFr)</t>
  </si>
  <si>
    <t>Ab*</t>
  </si>
  <si>
    <t>Tg(zebrabow)</t>
  </si>
  <si>
    <t>Tg(crip3(3.1):EGFP(CAAX) F0</t>
  </si>
  <si>
    <t>Tg(crip3(3.1):mcherry(CAAX) F0</t>
  </si>
  <si>
    <t>wif1 f1</t>
  </si>
  <si>
    <t>wif1 f0</t>
  </si>
  <si>
    <t>tg(nkx2.2a:gal4)</t>
  </si>
  <si>
    <t>tg(cmcl2:egfp)</t>
  </si>
  <si>
    <t>tg(UAS:NTR-mcherry)</t>
  </si>
  <si>
    <t>tg(nkx2.2a:gal4); tg(cmcl2:egfp)</t>
  </si>
  <si>
    <t>Tg(bact:Gal4) founder #1 -/+ -/-</t>
  </si>
  <si>
    <t>Tg(bact:Gal4); Tg(pBH-UAS:secA5-YFP)</t>
  </si>
  <si>
    <t>Ki(eab2:AG) F1</t>
  </si>
  <si>
    <t>Tg(mbp:eGFP-caax)</t>
  </si>
  <si>
    <t>Tg(sox10:gal4)(cmlc2:egfp)</t>
  </si>
  <si>
    <t>Tg(uas:rcamp1h)(cry2:gfp)</t>
  </si>
  <si>
    <t>Tg(uas:iglusnfr)(cry2:gfp)</t>
  </si>
  <si>
    <t>Tg(bact:Gal4)</t>
  </si>
  <si>
    <t>Tg(pBH-UAS:SecA5-YFP); Tg(bact:Gal4)</t>
  </si>
  <si>
    <t>Tg(sox10:zFlp)uva11 F1</t>
  </si>
  <si>
    <t>Tg(eab2:zFlp)uva21 F1</t>
  </si>
  <si>
    <t>Tg(zubi:zFlp)uva19 F1</t>
  </si>
  <si>
    <t>Tg(sox10:zFlp)uva20 F1</t>
  </si>
  <si>
    <t>Tg(eab2:FRT-EGFP-FRT-mApple)uva15 F1</t>
  </si>
  <si>
    <t>Tg(olig2:dsRed)</t>
  </si>
  <si>
    <t>Tg(mbp:eGFP-caax) NEGATIVE</t>
  </si>
  <si>
    <t>tg(cmlc2:EGFP)</t>
  </si>
  <si>
    <t>tg(UAS:NTR)</t>
  </si>
  <si>
    <t>Tg(nkx2.2:GAL4)(cmlc2:egfp)</t>
  </si>
  <si>
    <t>tg(nkx2.2a:gal4)(cmlc2:egfp)</t>
  </si>
  <si>
    <t>tg(nkx2.2a:megfp)(olig2:dsred)</t>
  </si>
  <si>
    <t>Tg(crip3(3.1):TagRFP F1</t>
  </si>
  <si>
    <t>Tg(crip3(3.1):TagRFP) F0 (multiple)</t>
  </si>
  <si>
    <t>Tg(cd59:TagRFP) F0 6.3kb</t>
  </si>
  <si>
    <t>wif1 F1</t>
  </si>
  <si>
    <t>wif1 F0</t>
  </si>
  <si>
    <t>Ki(wif1:eGFP) F0</t>
  </si>
  <si>
    <t>tg(sox10:nlsCas9-IRES-nls:eGFP);(cry:mcherry) F0</t>
  </si>
  <si>
    <t xml:space="preserve">tg(clu(7.8):eos);(cry:GFP) F0 </t>
  </si>
  <si>
    <t>tg(sox10:rcamp1h)</t>
  </si>
  <si>
    <t>tg(sox10:iglusnfr)</t>
  </si>
  <si>
    <t>4196B</t>
  </si>
  <si>
    <t>tg(12XSBE:EGFP)</t>
  </si>
  <si>
    <t>Wagers lab</t>
  </si>
  <si>
    <t>casper EKK</t>
  </si>
  <si>
    <t>tg(12XSBE:EGFP)tg(12XSBE:mcherry)</t>
  </si>
  <si>
    <t>tg(12XSBE:mcherry)</t>
  </si>
  <si>
    <t>tg(12XSBE:mcherry)tg(12XSBE:EGFP)</t>
  </si>
  <si>
    <t>tg(sox10:rcamp1h) F0</t>
  </si>
  <si>
    <t>4194A</t>
  </si>
  <si>
    <t>nf1a+/+;nf1b-/-</t>
  </si>
  <si>
    <t>nkx2.2a+/-</t>
  </si>
  <si>
    <t>~100</t>
  </si>
  <si>
    <t>wif1 F0 founders</t>
  </si>
  <si>
    <t>krox20 fh227 +/+, +/-</t>
  </si>
  <si>
    <t>krox20 fh227 +/-</t>
  </si>
  <si>
    <t>ndrg3a CRISPR F1 #1</t>
  </si>
  <si>
    <t>ndrg3a CRISPR F0 #1</t>
  </si>
  <si>
    <t>tg(uas:rcamp1h);(cry:GFP) F0</t>
  </si>
  <si>
    <t>Tg(sox10:nls-EOS);Tg(gfap:nfsb-mCherry)</t>
  </si>
  <si>
    <t>Tg(sox10:EOS);Tg(gfap:nfsb-mCherry)</t>
  </si>
  <si>
    <t>gria4a +/+, +/-</t>
  </si>
  <si>
    <t>MP</t>
  </si>
  <si>
    <t>tg(gfap:egfp)</t>
  </si>
  <si>
    <t>nf1a+/-; nf1b+/+</t>
  </si>
  <si>
    <t>nf1a+/-;nf1b</t>
  </si>
  <si>
    <t>Tg(p1.6fbln2:egfp)(cry2:gfp) F0</t>
  </si>
  <si>
    <t>Tg(sox10:Gal4;cmlc2:GFP)</t>
  </si>
  <si>
    <t>Tg(sox10:Gal4;cmlc2:GFP);(Tg(UAS:GFP-2xFYVE)</t>
  </si>
  <si>
    <t>Tg(sox10:Gal4;cmlc2:GFP);(Tg(UAS:GFP-2xFYVE);Tg(UAS:mCherry)</t>
  </si>
  <si>
    <t>Tg(gfap:mfsb-mcherry)</t>
  </si>
  <si>
    <t>Tg(ngn1:gfp)</t>
  </si>
  <si>
    <t>from Stewart lab</t>
  </si>
  <si>
    <t>Tg(sox10:tagRFP)</t>
  </si>
  <si>
    <t>(mpeg1:TagRFP) inj</t>
  </si>
  <si>
    <t>Tg(sox10:nls-Eos)</t>
  </si>
  <si>
    <t>Tg(p1.3glulb:egfp)(cry:gfp) F0</t>
  </si>
  <si>
    <t>11.13.18</t>
  </si>
  <si>
    <t>tg(olig1:tagRFP) F1</t>
  </si>
  <si>
    <t>olig1:tagRFP F0</t>
  </si>
  <si>
    <t>11.17.18</t>
  </si>
  <si>
    <t>olig1:tagRFP-CAAX F0</t>
  </si>
  <si>
    <t>stl64+/-</t>
  </si>
  <si>
    <t>Tg(bact:Gal4) founder3;Tg(pBH:secA5-YFP)</t>
  </si>
  <si>
    <t>Tg(Huc:kaede)</t>
  </si>
  <si>
    <t>Tg(mpeg1:mcherry)</t>
  </si>
  <si>
    <t>Tg(mpeg1:rtTA;cmlc2:gfp)</t>
  </si>
  <si>
    <t>TRE:BELMO</t>
  </si>
  <si>
    <t>tg(mpeg1:mcherrry);tg(mpeg1:rtTA;cmlc2:gfp);tg(TRE:BELMO)</t>
  </si>
  <si>
    <t>Tg(mbpa:mCherry-caax) F0</t>
  </si>
  <si>
    <t>tg(tnfa:gfp)</t>
  </si>
  <si>
    <t>4384a</t>
  </si>
  <si>
    <t>crip3 CRISPR F1 Founder 1</t>
  </si>
  <si>
    <t>crip3 CRISPR founder 1</t>
  </si>
  <si>
    <t>crip3 CRISPR F1 Founder 2</t>
  </si>
  <si>
    <t>crip3 CRISPR founder 2</t>
  </si>
  <si>
    <t>met 1.6 CRISPR Founder 1</t>
  </si>
  <si>
    <t>tg(olig2:Egfp)</t>
  </si>
  <si>
    <t>(mpeg1.1:TagRFP) injected</t>
  </si>
  <si>
    <t>(il1b:GFP-F;cryst:RFP) inj</t>
  </si>
  <si>
    <t>Ki(eab2:AG) F2</t>
  </si>
  <si>
    <t>nf1b+/-</t>
  </si>
  <si>
    <t>plp1a:tagRFP-CAAX;cry:GFP F0</t>
  </si>
  <si>
    <t>sox10:eGFP F0</t>
  </si>
  <si>
    <t>olig1:tagRFP-CAAX; cry:mCherry F0</t>
  </si>
  <si>
    <t>wif1 +/- F1</t>
  </si>
  <si>
    <t>tg(olig2:dsred2) unsorted</t>
  </si>
  <si>
    <t>wif1 f0 "Q"</t>
  </si>
  <si>
    <t>Tg(gfap:nfsb-mcherry)</t>
  </si>
  <si>
    <t>Tg(sox10:nlsEOS);Tg(gfap:nfsb-mCherry)</t>
  </si>
  <si>
    <t>cal gw71 +/-;-/-</t>
  </si>
  <si>
    <t>cal gw71 +/-</t>
  </si>
  <si>
    <t>cal gw71 -/-</t>
  </si>
  <si>
    <t>1.6 met CRISPR Founder "A"</t>
  </si>
  <si>
    <t xml:space="preserve">1.6 met CRISPR </t>
  </si>
  <si>
    <t>1.6 met CRISPR Founder "B"</t>
  </si>
  <si>
    <t>Tg(sox10:tagrfp)</t>
  </si>
  <si>
    <t>Tg(huc:gcamp6s)</t>
  </si>
  <si>
    <t>Tg(sox10:iglusnfr) F1</t>
  </si>
  <si>
    <t>Tg(sox10:iglusnfr) F0</t>
  </si>
  <si>
    <t>Ki(eab2:GA)uva30 F1</t>
  </si>
  <si>
    <t>Tg(eab2:FRT-GFP-FRT-mApple)uva15 F2</t>
  </si>
  <si>
    <t>dob</t>
  </si>
  <si>
    <t>researcher</t>
  </si>
  <si>
    <t>mom</t>
  </si>
  <si>
    <t>dad</t>
  </si>
  <si>
    <t>genetics</t>
  </si>
  <si>
    <t>countEnteringNursery</t>
  </si>
  <si>
    <t>comment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</si>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</sst>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m/dd/yyyy"/>
    <numFmt numFmtId="166" formatCode="mm/dd/yy"/>
  </numFmts>
  <fonts count="6" x14ac:knownFonts="1">
    <font>
      <sz val="12"/>
      <color rgb="FF000000"/>
      <name val="Calibri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Arial"/>
      <family val="2"/>
    </font>
    <font>
      <sz val="12"/>
      <color rgb="FF000000"/>
      <name val="Roboto"/>
    </font>
    <font>
      <sz val="12"/>
      <color rgb="FF22222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BDBDBD"/>
        <bgColor rgb="FFBDBDBD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FF0000"/>
        <bgColor rgb="FFFF0000"/>
      </patternFill>
    </fill>
    <fill>
      <patternFill patternType="solid">
        <fgColor rgb="FFEFEFEF"/>
        <bgColor rgb="FFEFEFEF"/>
      </patternFill>
    </fill>
    <fill>
      <patternFill patternType="solid">
        <fgColor rgb="FF00FFFF"/>
        <bgColor rgb="FF00FFFF"/>
      </patternFill>
    </fill>
    <fill>
      <patternFill patternType="solid">
        <fgColor rgb="FF980000"/>
        <bgColor rgb="FF980000"/>
      </patternFill>
    </fill>
  </fills>
  <borders count="3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999999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AEABAB"/>
      </left>
      <right style="thin">
        <color rgb="FFAEABAB"/>
      </right>
      <top/>
      <bottom style="thin">
        <color rgb="FFAEABAB"/>
      </bottom>
      <diagonal/>
    </border>
    <border>
      <left style="thin">
        <color rgb="FFAEABAB"/>
      </left>
      <right style="medium">
        <color rgb="FF000000"/>
      </right>
      <top/>
      <bottom style="thin">
        <color rgb="FFAEABAB"/>
      </bottom>
      <diagonal/>
    </border>
    <border>
      <left/>
      <right style="thin">
        <color rgb="FFAEABAB"/>
      </right>
      <top/>
      <bottom style="thin">
        <color rgb="FFAEABAB"/>
      </bottom>
      <diagonal/>
    </border>
    <border>
      <left/>
      <right style="medium">
        <color rgb="FF000000"/>
      </right>
      <top/>
      <bottom style="thin">
        <color rgb="FFAEABAB"/>
      </bottom>
      <diagonal/>
    </border>
    <border>
      <left style="medium">
        <color rgb="FF000000"/>
      </left>
      <right style="thin">
        <color rgb="FFAEABAB"/>
      </right>
      <top style="thin">
        <color rgb="FFAEABAB"/>
      </top>
      <bottom style="thin">
        <color rgb="FFAEABAB"/>
      </bottom>
      <diagonal/>
    </border>
    <border>
      <left style="thin">
        <color rgb="FFAEABAB"/>
      </left>
      <right/>
      <top/>
      <bottom style="thin">
        <color rgb="FFAEABAB"/>
      </bottom>
      <diagonal/>
    </border>
    <border>
      <left style="thin">
        <color rgb="FF999999"/>
      </left>
      <right style="medium">
        <color rgb="FF000000"/>
      </right>
      <top/>
      <bottom style="thin">
        <color rgb="FFAEABAB"/>
      </bottom>
      <diagonal/>
    </border>
    <border>
      <left style="thin">
        <color rgb="FFAEABAB"/>
      </left>
      <right style="thin">
        <color rgb="FFAEABAB"/>
      </right>
      <top style="thin">
        <color rgb="FFAEABAB"/>
      </top>
      <bottom style="thin">
        <color rgb="FFAEABAB"/>
      </bottom>
      <diagonal/>
    </border>
    <border>
      <left style="thin">
        <color rgb="FFAEABAB"/>
      </left>
      <right style="medium">
        <color rgb="FF000000"/>
      </right>
      <top style="thin">
        <color rgb="FFAEABAB"/>
      </top>
      <bottom style="thin">
        <color rgb="FFAEABAB"/>
      </bottom>
      <diagonal/>
    </border>
    <border>
      <left/>
      <right style="thin">
        <color rgb="FFAEABAB"/>
      </right>
      <top style="thin">
        <color rgb="FFAEABAB"/>
      </top>
      <bottom style="thin">
        <color rgb="FFAEABAB"/>
      </bottom>
      <diagonal/>
    </border>
    <border>
      <left style="thin">
        <color rgb="FFAEABAB"/>
      </left>
      <right/>
      <top style="thin">
        <color rgb="FFAEABAB"/>
      </top>
      <bottom style="thin">
        <color rgb="FFAEABAB"/>
      </bottom>
      <diagonal/>
    </border>
    <border>
      <left style="medium">
        <color rgb="FF000000"/>
      </left>
      <right style="thin">
        <color rgb="FFAEABAB"/>
      </right>
      <top/>
      <bottom style="thin">
        <color rgb="FFAEABAB"/>
      </bottom>
      <diagonal/>
    </border>
    <border>
      <left style="thin">
        <color rgb="FF999999"/>
      </left>
      <right style="medium">
        <color rgb="FF000000"/>
      </right>
      <top style="thin">
        <color rgb="FFAEABAB"/>
      </top>
      <bottom style="thin">
        <color rgb="FFAEABAB"/>
      </bottom>
      <diagonal/>
    </border>
    <border>
      <left/>
      <right style="medium">
        <color rgb="FF000000"/>
      </right>
      <top style="thin">
        <color rgb="FFAEABAB"/>
      </top>
      <bottom style="thin">
        <color rgb="FFAEABAB"/>
      </bottom>
      <diagonal/>
    </border>
    <border>
      <left/>
      <right/>
      <top style="thin">
        <color rgb="FFAEABAB"/>
      </top>
      <bottom style="thin">
        <color rgb="FFAEABAB"/>
      </bottom>
      <diagonal/>
    </border>
    <border>
      <left/>
      <right style="medium">
        <color rgb="FF000000"/>
      </right>
      <top/>
      <bottom/>
      <diagonal/>
    </border>
    <border>
      <left style="thin">
        <color rgb="FF999999"/>
      </left>
      <right style="medium">
        <color rgb="FF000000"/>
      </right>
      <top/>
      <bottom/>
      <diagonal/>
    </border>
    <border>
      <left style="thin">
        <color rgb="FF666666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AEABAB"/>
      </top>
      <bottom style="thin">
        <color rgb="FFAEABAB"/>
      </bottom>
      <diagonal/>
    </border>
    <border>
      <left style="thin">
        <color rgb="FF000000"/>
      </left>
      <right style="thin">
        <color rgb="FFAEABAB"/>
      </right>
      <top style="thin">
        <color rgb="FFAEABAB"/>
      </top>
      <bottom style="thin">
        <color rgb="FFAEABAB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/>
    <xf numFmtId="0" fontId="2" fillId="2" borderId="3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0" fillId="4" borderId="13" xfId="0" applyFill="1" applyBorder="1" applyAlignment="1">
      <alignment vertical="center"/>
    </xf>
    <xf numFmtId="164" fontId="0" fillId="4" borderId="13" xfId="0" applyNumberFormat="1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5" borderId="20" xfId="0" applyFill="1" applyBorder="1" applyAlignment="1">
      <alignment vertical="center"/>
    </xf>
    <xf numFmtId="164" fontId="0" fillId="3" borderId="20" xfId="0" applyNumberFormat="1" applyFill="1" applyBorder="1" applyAlignment="1">
      <alignment vertical="center"/>
    </xf>
    <xf numFmtId="0" fontId="0" fillId="3" borderId="20" xfId="0" applyFill="1" applyBorder="1" applyAlignment="1">
      <alignment vertical="center"/>
    </xf>
    <xf numFmtId="0" fontId="0" fillId="3" borderId="21" xfId="0" applyFill="1" applyBorder="1" applyAlignment="1">
      <alignment vertical="center"/>
    </xf>
    <xf numFmtId="0" fontId="0" fillId="3" borderId="22" xfId="0" applyFill="1" applyBorder="1" applyAlignment="1">
      <alignment vertical="center"/>
    </xf>
    <xf numFmtId="0" fontId="0" fillId="3" borderId="23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24" xfId="0" applyFill="1" applyBorder="1" applyAlignment="1">
      <alignment vertical="center"/>
    </xf>
    <xf numFmtId="0" fontId="0" fillId="3" borderId="25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164" fontId="0" fillId="4" borderId="20" xfId="0" applyNumberFormat="1" applyFill="1" applyBorder="1" applyAlignment="1">
      <alignment vertical="center"/>
    </xf>
    <xf numFmtId="0" fontId="0" fillId="4" borderId="21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23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4" borderId="27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164" fontId="0" fillId="3" borderId="13" xfId="0" applyNumberFormat="1" applyFill="1" applyBorder="1" applyAlignment="1">
      <alignment vertical="center"/>
    </xf>
    <xf numFmtId="0" fontId="2" fillId="3" borderId="28" xfId="0" applyFont="1" applyFill="1" applyBorder="1"/>
    <xf numFmtId="0" fontId="0" fillId="3" borderId="17" xfId="0" applyFill="1" applyBorder="1" applyAlignment="1">
      <alignment vertical="center"/>
    </xf>
    <xf numFmtId="0" fontId="2" fillId="4" borderId="28" xfId="0" applyFont="1" applyFill="1" applyBorder="1"/>
    <xf numFmtId="0" fontId="0" fillId="3" borderId="26" xfId="0" applyFill="1" applyBorder="1" applyAlignment="1">
      <alignment vertical="center"/>
    </xf>
    <xf numFmtId="0" fontId="0" fillId="3" borderId="27" xfId="0" applyFill="1" applyBorder="1" applyAlignment="1">
      <alignment vertical="center"/>
    </xf>
    <xf numFmtId="0" fontId="2" fillId="4" borderId="0" xfId="0" applyFont="1" applyFill="1"/>
    <xf numFmtId="0" fontId="2" fillId="3" borderId="0" xfId="0" applyFont="1" applyFill="1"/>
    <xf numFmtId="0" fontId="0" fillId="3" borderId="29" xfId="0" applyFill="1" applyBorder="1" applyAlignment="1">
      <alignment horizontal="left"/>
    </xf>
    <xf numFmtId="0" fontId="0" fillId="4" borderId="29" xfId="0" applyFill="1" applyBorder="1" applyAlignment="1">
      <alignment horizontal="left"/>
    </xf>
    <xf numFmtId="165" fontId="0" fillId="3" borderId="20" xfId="0" applyNumberFormat="1" applyFill="1" applyBorder="1" applyAlignment="1">
      <alignment vertical="center"/>
    </xf>
    <xf numFmtId="165" fontId="0" fillId="4" borderId="20" xfId="0" applyNumberFormat="1" applyFill="1" applyBorder="1" applyAlignment="1">
      <alignment vertical="center"/>
    </xf>
    <xf numFmtId="165" fontId="3" fillId="3" borderId="0" xfId="0" applyNumberFormat="1" applyFont="1" applyFill="1"/>
    <xf numFmtId="0" fontId="0" fillId="4" borderId="30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3" borderId="31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14" fontId="0" fillId="4" borderId="20" xfId="0" applyNumberFormat="1" applyFill="1" applyBorder="1" applyAlignment="1">
      <alignment vertical="center"/>
    </xf>
    <xf numFmtId="0" fontId="0" fillId="4" borderId="17" xfId="0" applyFill="1" applyBorder="1" applyAlignment="1">
      <alignment horizontal="right"/>
    </xf>
    <xf numFmtId="0" fontId="0" fillId="4" borderId="27" xfId="0" applyFill="1" applyBorder="1"/>
    <xf numFmtId="0" fontId="0" fillId="4" borderId="26" xfId="0" applyFill="1" applyBorder="1"/>
    <xf numFmtId="14" fontId="0" fillId="3" borderId="20" xfId="0" applyNumberFormat="1" applyFill="1" applyBorder="1" applyAlignment="1">
      <alignment vertical="center"/>
    </xf>
    <xf numFmtId="3" fontId="0" fillId="3" borderId="22" xfId="0" applyNumberFormat="1" applyFill="1" applyBorder="1" applyAlignment="1">
      <alignment vertical="center"/>
    </xf>
    <xf numFmtId="0" fontId="0" fillId="3" borderId="0" xfId="0" applyFill="1" applyAlignment="1">
      <alignment horizontal="left"/>
    </xf>
    <xf numFmtId="0" fontId="0" fillId="6" borderId="20" xfId="0" applyFill="1" applyBorder="1" applyAlignment="1">
      <alignment vertical="center"/>
    </xf>
    <xf numFmtId="164" fontId="0" fillId="6" borderId="20" xfId="0" applyNumberFormat="1" applyFill="1" applyBorder="1" applyAlignment="1">
      <alignment vertical="center"/>
    </xf>
    <xf numFmtId="0" fontId="0" fillId="6" borderId="21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23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27" xfId="0" applyFill="1" applyBorder="1" applyAlignment="1">
      <alignment vertical="center"/>
    </xf>
    <xf numFmtId="0" fontId="0" fillId="6" borderId="25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166" fontId="0" fillId="4" borderId="20" xfId="0" applyNumberFormat="1" applyFill="1" applyBorder="1" applyAlignment="1">
      <alignment vertical="center"/>
    </xf>
    <xf numFmtId="166" fontId="0" fillId="3" borderId="20" xfId="0" applyNumberFormat="1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0" fillId="4" borderId="0" xfId="0" applyFill="1"/>
    <xf numFmtId="0" fontId="0" fillId="3" borderId="0" xfId="0" applyFill="1"/>
    <xf numFmtId="0" fontId="1" fillId="4" borderId="22" xfId="0" applyFont="1" applyFill="1" applyBorder="1" applyAlignment="1">
      <alignment vertical="center"/>
    </xf>
    <xf numFmtId="0" fontId="4" fillId="3" borderId="0" xfId="0" applyFont="1" applyFill="1"/>
    <xf numFmtId="0" fontId="0" fillId="3" borderId="32" xfId="0" applyFill="1" applyBorder="1" applyAlignment="1">
      <alignment vertical="center"/>
    </xf>
    <xf numFmtId="0" fontId="0" fillId="4" borderId="32" xfId="0" applyFill="1" applyBorder="1" applyAlignment="1">
      <alignment vertical="center"/>
    </xf>
    <xf numFmtId="0" fontId="5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E1CBE-57DA-4EEF-8C90-8CD49F9D170A}">
  <sheetPr codeName="Sheet1">
    <outlinePr summaryBelow="0" summaryRight="0"/>
  </sheetPr>
  <dimension ref="A1:AA980"/>
  <sheetViews>
    <sheetView workbookViewId="0">
      <pane ySplit="2" topLeftCell="A474" activePane="bottomLeft" state="frozen"/>
      <selection pane="bottomLeft" activeCell="G105" sqref="G105"/>
    </sheetView>
  </sheetViews>
  <sheetFormatPr defaultColWidth="11.19921875" defaultRowHeight="15" customHeight="1" x14ac:dyDescent="0.3"/>
  <cols>
    <col min="1" max="1" width="5.796875" customWidth="1"/>
    <col min="2" max="2" width="10" customWidth="1"/>
    <col min="3" max="3" width="31.5" customWidth="1"/>
    <col min="4" max="4" width="24.19921875" customWidth="1"/>
    <col min="5" max="5" width="16.5" customWidth="1"/>
    <col min="6" max="6" width="15.5" customWidth="1"/>
    <col min="7" max="8" width="11.5" customWidth="1"/>
    <col min="9" max="9" width="6.796875" customWidth="1"/>
    <col min="10" max="10" width="14.19921875" customWidth="1"/>
    <col min="11" max="11" width="29.796875" customWidth="1"/>
    <col min="12" max="12" width="6.19921875" customWidth="1"/>
    <col min="13" max="13" width="22.5" customWidth="1"/>
    <col min="14" max="14" width="34.69921875" customWidth="1"/>
    <col min="15" max="27" width="10.5" customWidth="1"/>
  </cols>
  <sheetData>
    <row r="1" spans="1:27" ht="14.25" customHeight="1" x14ac:dyDescent="0.3">
      <c r="A1" s="1" t="s">
        <v>0</v>
      </c>
      <c r="B1" s="2"/>
      <c r="C1" s="2"/>
      <c r="D1" s="2"/>
      <c r="E1" s="2"/>
      <c r="F1" s="2"/>
      <c r="G1" s="2"/>
      <c r="H1" s="3"/>
      <c r="I1" s="4" t="s">
        <v>1</v>
      </c>
      <c r="J1" s="2"/>
      <c r="K1" s="2"/>
      <c r="L1" s="5" t="s">
        <v>2</v>
      </c>
      <c r="M1" s="2"/>
      <c r="N1" s="3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ht="14.25" customHeight="1" thickBot="1" x14ac:dyDescent="0.35">
      <c r="A2" s="7" t="s">
        <v>3</v>
      </c>
      <c r="B2" s="8" t="s">
        <v>4</v>
      </c>
      <c r="C2" s="8" t="s">
        <v>5</v>
      </c>
      <c r="D2" s="8" t="s">
        <v>6</v>
      </c>
      <c r="E2" s="8" t="s">
        <v>7</v>
      </c>
      <c r="F2" s="8" t="s">
        <v>8</v>
      </c>
      <c r="G2" s="8" t="s">
        <v>9</v>
      </c>
      <c r="H2" s="9" t="s">
        <v>10</v>
      </c>
      <c r="I2" s="10" t="s">
        <v>3</v>
      </c>
      <c r="J2" s="11" t="s">
        <v>5</v>
      </c>
      <c r="K2" s="9" t="s">
        <v>11</v>
      </c>
      <c r="L2" s="12" t="s">
        <v>3</v>
      </c>
      <c r="M2" s="11" t="s">
        <v>5</v>
      </c>
      <c r="N2" s="13" t="s">
        <v>11</v>
      </c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5"/>
    </row>
    <row r="3" spans="1:27" ht="14.25" customHeight="1" x14ac:dyDescent="0.3">
      <c r="A3" s="16">
        <v>4000</v>
      </c>
      <c r="B3" s="17">
        <v>43187</v>
      </c>
      <c r="C3" s="16" t="s">
        <v>12</v>
      </c>
      <c r="D3" s="16"/>
      <c r="E3" s="16"/>
      <c r="F3" s="16"/>
      <c r="G3" s="16">
        <v>30</v>
      </c>
      <c r="H3" s="18" t="s">
        <v>13</v>
      </c>
      <c r="I3" s="19">
        <v>2892</v>
      </c>
      <c r="J3" s="16" t="s">
        <v>12</v>
      </c>
      <c r="K3" s="20"/>
      <c r="L3" s="21">
        <v>2892</v>
      </c>
      <c r="M3" s="22" t="s">
        <v>12</v>
      </c>
      <c r="N3" s="23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ht="14.25" customHeight="1" x14ac:dyDescent="0.3">
      <c r="A4" s="25">
        <v>4001</v>
      </c>
      <c r="B4" s="26">
        <v>43187</v>
      </c>
      <c r="C4" s="27" t="s">
        <v>14</v>
      </c>
      <c r="D4" s="27"/>
      <c r="E4" s="27"/>
      <c r="F4" s="27"/>
      <c r="G4" s="27">
        <v>30</v>
      </c>
      <c r="H4" s="28" t="s">
        <v>13</v>
      </c>
      <c r="I4" s="29">
        <v>3002</v>
      </c>
      <c r="J4" s="30" t="s">
        <v>14</v>
      </c>
      <c r="K4" s="31"/>
      <c r="L4" s="32">
        <v>3002</v>
      </c>
      <c r="M4" s="30" t="s">
        <v>14</v>
      </c>
      <c r="N4" s="33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27" ht="14.25" customHeight="1" x14ac:dyDescent="0.3">
      <c r="A5" s="35">
        <v>4002</v>
      </c>
      <c r="B5" s="36">
        <v>43187</v>
      </c>
      <c r="C5" s="35"/>
      <c r="D5" s="35" t="s">
        <v>15</v>
      </c>
      <c r="E5" s="35"/>
      <c r="F5" s="35"/>
      <c r="G5" s="35">
        <v>45</v>
      </c>
      <c r="H5" s="37" t="s">
        <v>16</v>
      </c>
      <c r="I5" s="38">
        <v>2964</v>
      </c>
      <c r="J5" s="39" t="s">
        <v>12</v>
      </c>
      <c r="K5" s="40"/>
      <c r="L5" s="21">
        <v>2889</v>
      </c>
      <c r="M5" s="41"/>
      <c r="N5" s="42" t="s">
        <v>15</v>
      </c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</row>
    <row r="6" spans="1:27" ht="14.25" customHeight="1" x14ac:dyDescent="0.3">
      <c r="A6" s="27">
        <v>4003</v>
      </c>
      <c r="B6" s="43">
        <v>43187</v>
      </c>
      <c r="C6" s="27" t="s">
        <v>17</v>
      </c>
      <c r="D6" s="27" t="s">
        <v>15</v>
      </c>
      <c r="E6" s="27"/>
      <c r="F6" s="27"/>
      <c r="G6" s="27">
        <v>30</v>
      </c>
      <c r="H6" s="28" t="s">
        <v>16</v>
      </c>
      <c r="I6" s="29">
        <v>2964</v>
      </c>
      <c r="J6" s="30" t="s">
        <v>12</v>
      </c>
      <c r="K6" s="44"/>
      <c r="L6" s="45">
        <v>3082</v>
      </c>
      <c r="M6" s="30" t="s">
        <v>18</v>
      </c>
      <c r="N6" s="33" t="s">
        <v>15</v>
      </c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27" ht="14.25" customHeight="1" x14ac:dyDescent="0.3">
      <c r="A7" s="35">
        <v>4004</v>
      </c>
      <c r="B7" s="36">
        <v>43187</v>
      </c>
      <c r="C7" s="35" t="s">
        <v>17</v>
      </c>
      <c r="D7" s="35"/>
      <c r="E7" s="35"/>
      <c r="F7" s="35"/>
      <c r="G7" s="35">
        <v>50</v>
      </c>
      <c r="H7" s="37" t="s">
        <v>16</v>
      </c>
      <c r="I7" s="38">
        <v>2964</v>
      </c>
      <c r="J7" s="39" t="s">
        <v>12</v>
      </c>
      <c r="K7" s="46"/>
      <c r="L7" s="21">
        <v>3082</v>
      </c>
      <c r="M7" s="39" t="s">
        <v>18</v>
      </c>
      <c r="N7" s="42" t="s">
        <v>15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</row>
    <row r="8" spans="1:27" ht="14.25" customHeight="1" x14ac:dyDescent="0.3">
      <c r="A8" s="27">
        <v>4005</v>
      </c>
      <c r="B8" s="26">
        <v>43187</v>
      </c>
      <c r="C8" s="27" t="s">
        <v>19</v>
      </c>
      <c r="D8" s="27" t="s">
        <v>20</v>
      </c>
      <c r="E8" s="27"/>
      <c r="F8" s="27"/>
      <c r="G8" s="27">
        <v>35</v>
      </c>
      <c r="H8" s="28" t="s">
        <v>16</v>
      </c>
      <c r="I8" s="29">
        <v>3089</v>
      </c>
      <c r="J8" s="30" t="s">
        <v>21</v>
      </c>
      <c r="K8" s="47" t="s">
        <v>20</v>
      </c>
      <c r="L8" s="45">
        <v>2965</v>
      </c>
      <c r="M8" s="48" t="s">
        <v>12</v>
      </c>
      <c r="N8" s="33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27" ht="14.25" customHeight="1" x14ac:dyDescent="0.3">
      <c r="A9" s="35">
        <v>4006</v>
      </c>
      <c r="B9" s="17">
        <v>43187</v>
      </c>
      <c r="C9" s="35"/>
      <c r="D9" s="35" t="s">
        <v>22</v>
      </c>
      <c r="E9" s="35"/>
      <c r="F9" s="35"/>
      <c r="G9" s="35">
        <v>15</v>
      </c>
      <c r="H9" s="37" t="s">
        <v>23</v>
      </c>
      <c r="I9" s="38">
        <v>2964</v>
      </c>
      <c r="J9" s="39" t="s">
        <v>12</v>
      </c>
      <c r="K9" s="40"/>
      <c r="L9" s="21">
        <v>2204</v>
      </c>
      <c r="M9" s="41"/>
      <c r="N9" s="42" t="s">
        <v>22</v>
      </c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</row>
    <row r="10" spans="1:27" ht="14.25" customHeight="1" x14ac:dyDescent="0.3">
      <c r="A10" s="27">
        <v>4007</v>
      </c>
      <c r="B10" s="26">
        <v>43187</v>
      </c>
      <c r="C10" s="27"/>
      <c r="D10" s="27" t="s">
        <v>24</v>
      </c>
      <c r="E10" s="27"/>
      <c r="F10" s="27"/>
      <c r="G10" s="27">
        <v>15</v>
      </c>
      <c r="H10" s="28" t="s">
        <v>23</v>
      </c>
      <c r="I10" s="29">
        <v>2965</v>
      </c>
      <c r="J10" s="30" t="s">
        <v>12</v>
      </c>
      <c r="K10" s="47"/>
      <c r="L10" s="45">
        <v>2128</v>
      </c>
      <c r="M10" s="48"/>
      <c r="N10" s="33" t="s">
        <v>24</v>
      </c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27" ht="14.25" customHeight="1" x14ac:dyDescent="0.3">
      <c r="A11" s="35">
        <v>4008</v>
      </c>
      <c r="B11" s="36">
        <v>43187</v>
      </c>
      <c r="C11" s="35"/>
      <c r="D11" s="35" t="s">
        <v>25</v>
      </c>
      <c r="E11" s="35" t="s">
        <v>26</v>
      </c>
      <c r="F11" s="35"/>
      <c r="G11" s="35">
        <v>92</v>
      </c>
      <c r="H11" s="37" t="s">
        <v>27</v>
      </c>
      <c r="I11" s="38">
        <v>2895</v>
      </c>
      <c r="J11" s="39" t="s">
        <v>12</v>
      </c>
      <c r="K11" s="40"/>
      <c r="L11" s="21">
        <v>2729</v>
      </c>
      <c r="M11" s="39"/>
      <c r="N11" s="42" t="s">
        <v>28</v>
      </c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</row>
    <row r="12" spans="1:27" ht="14.25" customHeight="1" x14ac:dyDescent="0.3">
      <c r="A12" s="27">
        <v>4009</v>
      </c>
      <c r="B12" s="43">
        <v>43187</v>
      </c>
      <c r="C12" s="27"/>
      <c r="D12" s="27" t="s">
        <v>29</v>
      </c>
      <c r="E12" s="27"/>
      <c r="F12" s="27"/>
      <c r="G12" s="27">
        <v>38</v>
      </c>
      <c r="H12" s="28" t="s">
        <v>30</v>
      </c>
      <c r="I12" s="29">
        <v>2895</v>
      </c>
      <c r="J12" s="30" t="s">
        <v>12</v>
      </c>
      <c r="K12" s="47"/>
      <c r="L12" s="45">
        <v>2874</v>
      </c>
      <c r="M12" s="48"/>
      <c r="N12" s="33" t="s">
        <v>29</v>
      </c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27" ht="14.25" customHeight="1" x14ac:dyDescent="0.3">
      <c r="A13" s="35">
        <v>4010</v>
      </c>
      <c r="B13" s="36">
        <v>43187</v>
      </c>
      <c r="C13" s="35"/>
      <c r="D13" s="35" t="s">
        <v>31</v>
      </c>
      <c r="E13" s="35"/>
      <c r="F13" s="35"/>
      <c r="G13" s="35">
        <v>22</v>
      </c>
      <c r="H13" s="37" t="s">
        <v>27</v>
      </c>
      <c r="I13" s="38">
        <v>2895</v>
      </c>
      <c r="J13" s="39" t="s">
        <v>12</v>
      </c>
      <c r="K13" s="40"/>
      <c r="L13" s="21">
        <v>2363</v>
      </c>
      <c r="M13" s="41"/>
      <c r="N13" s="42" t="s">
        <v>31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</row>
    <row r="14" spans="1:27" ht="14.25" customHeight="1" x14ac:dyDescent="0.3">
      <c r="A14" s="27">
        <v>4011</v>
      </c>
      <c r="B14" s="26">
        <v>43187</v>
      </c>
      <c r="C14" s="27"/>
      <c r="D14" s="27" t="s">
        <v>32</v>
      </c>
      <c r="E14" s="27"/>
      <c r="F14" s="27"/>
      <c r="G14" s="27">
        <v>33</v>
      </c>
      <c r="H14" s="28" t="s">
        <v>30</v>
      </c>
      <c r="I14" s="29">
        <v>2895</v>
      </c>
      <c r="J14" s="30" t="s">
        <v>12</v>
      </c>
      <c r="K14" s="47"/>
      <c r="L14" s="45">
        <v>2069</v>
      </c>
      <c r="M14" s="48"/>
      <c r="N14" s="33" t="s">
        <v>32</v>
      </c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27" ht="14.25" customHeight="1" x14ac:dyDescent="0.3">
      <c r="A15" s="35">
        <v>4012</v>
      </c>
      <c r="B15" s="17">
        <v>43187</v>
      </c>
      <c r="C15" s="35"/>
      <c r="D15" s="35" t="s">
        <v>32</v>
      </c>
      <c r="E15" s="35"/>
      <c r="F15" s="35"/>
      <c r="G15" s="35">
        <v>28</v>
      </c>
      <c r="H15" s="37" t="s">
        <v>27</v>
      </c>
      <c r="I15" s="38">
        <v>2895</v>
      </c>
      <c r="J15" s="39" t="s">
        <v>12</v>
      </c>
      <c r="K15" s="40"/>
      <c r="L15" s="21">
        <v>2069</v>
      </c>
      <c r="M15" s="41"/>
      <c r="N15" s="42" t="s">
        <v>32</v>
      </c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</row>
    <row r="16" spans="1:27" ht="14.25" customHeight="1" x14ac:dyDescent="0.3">
      <c r="A16" s="27">
        <v>4013</v>
      </c>
      <c r="B16" s="26">
        <v>43187</v>
      </c>
      <c r="C16" s="27" t="s">
        <v>12</v>
      </c>
      <c r="D16" s="27"/>
      <c r="E16" s="27"/>
      <c r="F16" s="27"/>
      <c r="G16" s="27">
        <v>31</v>
      </c>
      <c r="H16" s="28" t="s">
        <v>33</v>
      </c>
      <c r="I16" s="29">
        <v>2895</v>
      </c>
      <c r="J16" s="30" t="s">
        <v>12</v>
      </c>
      <c r="K16" s="47"/>
      <c r="L16" s="45">
        <v>2069</v>
      </c>
      <c r="M16" s="48"/>
      <c r="N16" s="33" t="s">
        <v>32</v>
      </c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14.25" customHeight="1" x14ac:dyDescent="0.3">
      <c r="A17" s="35">
        <v>4014</v>
      </c>
      <c r="B17" s="36">
        <v>43187</v>
      </c>
      <c r="C17" s="35"/>
      <c r="D17" s="35" t="s">
        <v>34</v>
      </c>
      <c r="E17" s="35"/>
      <c r="F17" s="35"/>
      <c r="G17" s="35">
        <v>1</v>
      </c>
      <c r="H17" s="37" t="s">
        <v>33</v>
      </c>
      <c r="I17" s="38">
        <v>2576</v>
      </c>
      <c r="J17" s="39"/>
      <c r="K17" s="37" t="s">
        <v>35</v>
      </c>
      <c r="L17" s="21">
        <v>2895</v>
      </c>
      <c r="M17" s="41" t="s">
        <v>12</v>
      </c>
      <c r="N17" s="42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</row>
    <row r="18" spans="1:27" ht="14.25" customHeight="1" x14ac:dyDescent="0.3">
      <c r="A18" s="27">
        <v>4015</v>
      </c>
      <c r="B18" s="26">
        <v>43187</v>
      </c>
      <c r="C18" s="27" t="s">
        <v>36</v>
      </c>
      <c r="D18" s="27" t="s">
        <v>37</v>
      </c>
      <c r="E18" s="27" t="s">
        <v>38</v>
      </c>
      <c r="F18" s="27"/>
      <c r="G18" s="27">
        <v>50</v>
      </c>
      <c r="H18" s="28" t="s">
        <v>39</v>
      </c>
      <c r="I18" s="29">
        <v>2807</v>
      </c>
      <c r="J18" s="27" t="s">
        <v>40</v>
      </c>
      <c r="K18" s="28" t="s">
        <v>41</v>
      </c>
      <c r="L18" s="45">
        <v>2807</v>
      </c>
      <c r="M18" s="30" t="s">
        <v>40</v>
      </c>
      <c r="N18" s="33" t="s">
        <v>41</v>
      </c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14.25" customHeight="1" x14ac:dyDescent="0.3">
      <c r="A19" s="35">
        <v>4016</v>
      </c>
      <c r="B19" s="36">
        <v>43187</v>
      </c>
      <c r="C19" s="35" t="s">
        <v>36</v>
      </c>
      <c r="D19" s="35" t="s">
        <v>38</v>
      </c>
      <c r="E19" s="49"/>
      <c r="F19" s="35"/>
      <c r="G19" s="35">
        <v>50</v>
      </c>
      <c r="H19" s="37" t="s">
        <v>39</v>
      </c>
      <c r="I19" s="35">
        <v>2799</v>
      </c>
      <c r="J19" s="35" t="s">
        <v>40</v>
      </c>
      <c r="K19" s="37" t="s">
        <v>38</v>
      </c>
      <c r="L19" s="21">
        <v>2799</v>
      </c>
      <c r="M19" s="39" t="s">
        <v>40</v>
      </c>
      <c r="N19" s="42" t="s">
        <v>38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</row>
    <row r="20" spans="1:27" ht="14.25" customHeight="1" x14ac:dyDescent="0.3">
      <c r="A20" s="27">
        <v>4017</v>
      </c>
      <c r="B20" s="26">
        <v>43187</v>
      </c>
      <c r="C20" s="27" t="s">
        <v>42</v>
      </c>
      <c r="D20" s="27" t="s">
        <v>38</v>
      </c>
      <c r="E20" s="27"/>
      <c r="F20" s="27"/>
      <c r="G20" s="27">
        <v>50</v>
      </c>
      <c r="H20" s="28" t="s">
        <v>39</v>
      </c>
      <c r="I20" s="29">
        <v>2734</v>
      </c>
      <c r="J20" s="30" t="s">
        <v>43</v>
      </c>
      <c r="K20" s="28" t="s">
        <v>38</v>
      </c>
      <c r="L20" s="45">
        <v>2734</v>
      </c>
      <c r="M20" s="30" t="s">
        <v>43</v>
      </c>
      <c r="N20" s="33" t="s">
        <v>38</v>
      </c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14.25" customHeight="1" x14ac:dyDescent="0.3">
      <c r="A21" s="35">
        <v>4018</v>
      </c>
      <c r="B21" s="36">
        <v>43187</v>
      </c>
      <c r="C21" s="35" t="s">
        <v>36</v>
      </c>
      <c r="D21" s="35" t="s">
        <v>44</v>
      </c>
      <c r="E21" s="35"/>
      <c r="F21" s="35"/>
      <c r="G21" s="35">
        <v>75</v>
      </c>
      <c r="H21" s="37" t="s">
        <v>39</v>
      </c>
      <c r="I21" s="38">
        <v>2345</v>
      </c>
      <c r="J21" s="35" t="s">
        <v>40</v>
      </c>
      <c r="K21" s="37" t="s">
        <v>44</v>
      </c>
      <c r="L21" s="21">
        <v>2345</v>
      </c>
      <c r="M21" s="39" t="s">
        <v>40</v>
      </c>
      <c r="N21" s="42" t="s">
        <v>44</v>
      </c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</row>
    <row r="22" spans="1:27" ht="14.25" customHeight="1" x14ac:dyDescent="0.3">
      <c r="A22" s="27">
        <v>4019</v>
      </c>
      <c r="B22" s="26">
        <v>43187</v>
      </c>
      <c r="C22" s="27" t="s">
        <v>36</v>
      </c>
      <c r="D22" s="27" t="s">
        <v>44</v>
      </c>
      <c r="E22" s="27"/>
      <c r="F22" s="27"/>
      <c r="G22" s="27">
        <v>75</v>
      </c>
      <c r="H22" s="28" t="s">
        <v>39</v>
      </c>
      <c r="I22" s="29">
        <v>2345</v>
      </c>
      <c r="J22" s="27" t="s">
        <v>40</v>
      </c>
      <c r="K22" s="28" t="s">
        <v>44</v>
      </c>
      <c r="L22" s="29">
        <v>2345</v>
      </c>
      <c r="M22" s="30" t="s">
        <v>40</v>
      </c>
      <c r="N22" s="33" t="s">
        <v>44</v>
      </c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14.25" customHeight="1" x14ac:dyDescent="0.3">
      <c r="A23" s="35">
        <v>4020</v>
      </c>
      <c r="B23" s="36">
        <v>43187</v>
      </c>
      <c r="C23" s="35" t="s">
        <v>36</v>
      </c>
      <c r="D23" s="35" t="s">
        <v>44</v>
      </c>
      <c r="E23" s="35"/>
      <c r="F23" s="35"/>
      <c r="G23" s="35">
        <v>75</v>
      </c>
      <c r="H23" s="37" t="s">
        <v>39</v>
      </c>
      <c r="I23" s="38">
        <v>2345</v>
      </c>
      <c r="J23" s="35" t="s">
        <v>40</v>
      </c>
      <c r="K23" s="37" t="s">
        <v>44</v>
      </c>
      <c r="L23" s="38">
        <v>2345</v>
      </c>
      <c r="M23" s="39" t="s">
        <v>40</v>
      </c>
      <c r="N23" s="42" t="s">
        <v>44</v>
      </c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</row>
    <row r="24" spans="1:27" ht="14.25" customHeight="1" x14ac:dyDescent="0.3">
      <c r="A24" s="27">
        <v>4021</v>
      </c>
      <c r="B24" s="26">
        <v>43187</v>
      </c>
      <c r="C24" s="27" t="s">
        <v>36</v>
      </c>
      <c r="D24" s="27" t="s">
        <v>37</v>
      </c>
      <c r="E24" s="27"/>
      <c r="F24" s="27"/>
      <c r="G24" s="27">
        <v>75</v>
      </c>
      <c r="H24" s="28" t="s">
        <v>39</v>
      </c>
      <c r="I24" s="29">
        <v>2921</v>
      </c>
      <c r="J24" s="27" t="s">
        <v>40</v>
      </c>
      <c r="K24" s="28" t="s">
        <v>37</v>
      </c>
      <c r="L24" s="45">
        <v>2921</v>
      </c>
      <c r="M24" s="30" t="s">
        <v>40</v>
      </c>
      <c r="N24" s="33" t="s">
        <v>37</v>
      </c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14.25" customHeight="1" x14ac:dyDescent="0.3">
      <c r="A25" s="35">
        <v>4022</v>
      </c>
      <c r="B25" s="36">
        <v>43187</v>
      </c>
      <c r="C25" s="35" t="s">
        <v>36</v>
      </c>
      <c r="D25" s="35"/>
      <c r="E25" s="35"/>
      <c r="F25" s="35"/>
      <c r="G25" s="35">
        <v>75</v>
      </c>
      <c r="H25" s="37" t="s">
        <v>39</v>
      </c>
      <c r="I25" s="38">
        <v>2817</v>
      </c>
      <c r="J25" s="35" t="s">
        <v>40</v>
      </c>
      <c r="K25" s="40"/>
      <c r="L25" s="38">
        <v>2817</v>
      </c>
      <c r="M25" s="39" t="s">
        <v>40</v>
      </c>
      <c r="N25" s="42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</row>
    <row r="26" spans="1:27" ht="14.25" customHeight="1" x14ac:dyDescent="0.3">
      <c r="A26" s="27">
        <v>4023</v>
      </c>
      <c r="B26" s="26">
        <v>43187</v>
      </c>
      <c r="C26" s="27" t="s">
        <v>36</v>
      </c>
      <c r="D26" s="27"/>
      <c r="E26" s="27"/>
      <c r="F26" s="27"/>
      <c r="G26" s="27">
        <v>75</v>
      </c>
      <c r="H26" s="28" t="s">
        <v>39</v>
      </c>
      <c r="I26" s="29">
        <v>2817</v>
      </c>
      <c r="J26" s="27" t="s">
        <v>40</v>
      </c>
      <c r="K26" s="47"/>
      <c r="L26" s="29">
        <v>2817</v>
      </c>
      <c r="M26" s="30" t="s">
        <v>40</v>
      </c>
      <c r="N26" s="33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14.25" customHeight="1" x14ac:dyDescent="0.3">
      <c r="A27" s="35">
        <v>4024</v>
      </c>
      <c r="B27" s="36">
        <v>43187</v>
      </c>
      <c r="C27" s="35" t="s">
        <v>36</v>
      </c>
      <c r="D27" s="35"/>
      <c r="E27" s="35"/>
      <c r="F27" s="35"/>
      <c r="G27" s="35">
        <v>75</v>
      </c>
      <c r="H27" s="37" t="s">
        <v>39</v>
      </c>
      <c r="I27" s="38">
        <v>2817</v>
      </c>
      <c r="J27" s="35" t="s">
        <v>40</v>
      </c>
      <c r="K27" s="40"/>
      <c r="L27" s="38">
        <v>2817</v>
      </c>
      <c r="M27" s="39" t="s">
        <v>40</v>
      </c>
      <c r="N27" s="42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</row>
    <row r="28" spans="1:27" ht="14.25" customHeight="1" x14ac:dyDescent="0.3">
      <c r="A28" s="27">
        <v>4025</v>
      </c>
      <c r="B28" s="26">
        <v>43187</v>
      </c>
      <c r="C28" s="27" t="s">
        <v>36</v>
      </c>
      <c r="D28" s="27"/>
      <c r="E28" s="27"/>
      <c r="F28" s="27"/>
      <c r="G28" s="27">
        <v>75</v>
      </c>
      <c r="H28" s="28" t="s">
        <v>39</v>
      </c>
      <c r="I28" s="29">
        <v>2817</v>
      </c>
      <c r="J28" s="27" t="s">
        <v>40</v>
      </c>
      <c r="K28" s="47"/>
      <c r="L28" s="29">
        <v>2817</v>
      </c>
      <c r="M28" s="30" t="s">
        <v>40</v>
      </c>
      <c r="N28" s="33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14.25" customHeight="1" x14ac:dyDescent="0.3">
      <c r="A29" s="35">
        <v>4026</v>
      </c>
      <c r="B29" s="36">
        <v>43187</v>
      </c>
      <c r="C29" s="35" t="s">
        <v>36</v>
      </c>
      <c r="D29" s="35"/>
      <c r="E29" s="35"/>
      <c r="F29" s="35"/>
      <c r="G29" s="35">
        <v>75</v>
      </c>
      <c r="H29" s="37" t="s">
        <v>39</v>
      </c>
      <c r="I29" s="38">
        <v>2817</v>
      </c>
      <c r="J29" s="35" t="s">
        <v>40</v>
      </c>
      <c r="K29" s="40"/>
      <c r="L29" s="38">
        <v>2817</v>
      </c>
      <c r="M29" s="39" t="s">
        <v>40</v>
      </c>
      <c r="N29" s="42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</row>
    <row r="30" spans="1:27" ht="14.25" customHeight="1" x14ac:dyDescent="0.3">
      <c r="A30" s="27">
        <v>4027</v>
      </c>
      <c r="B30" s="26">
        <v>43187</v>
      </c>
      <c r="C30" s="27" t="s">
        <v>36</v>
      </c>
      <c r="D30" s="27"/>
      <c r="E30" s="27"/>
      <c r="F30" s="27"/>
      <c r="G30" s="27">
        <v>75</v>
      </c>
      <c r="H30" s="28" t="s">
        <v>39</v>
      </c>
      <c r="I30" s="29">
        <v>2817</v>
      </c>
      <c r="J30" s="27" t="s">
        <v>40</v>
      </c>
      <c r="K30" s="47"/>
      <c r="L30" s="29">
        <v>2817</v>
      </c>
      <c r="M30" s="30" t="s">
        <v>40</v>
      </c>
      <c r="N30" s="33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14.25" customHeight="1" x14ac:dyDescent="0.3">
      <c r="A31" s="35">
        <v>4028</v>
      </c>
      <c r="B31" s="36">
        <v>43187</v>
      </c>
      <c r="C31" s="35" t="s">
        <v>36</v>
      </c>
      <c r="D31" s="35"/>
      <c r="E31" s="35"/>
      <c r="F31" s="35"/>
      <c r="G31" s="35">
        <v>75</v>
      </c>
      <c r="H31" s="37" t="s">
        <v>39</v>
      </c>
      <c r="I31" s="38">
        <v>2817</v>
      </c>
      <c r="J31" s="35" t="s">
        <v>40</v>
      </c>
      <c r="K31" s="40"/>
      <c r="L31" s="38">
        <v>2817</v>
      </c>
      <c r="M31" s="39" t="s">
        <v>40</v>
      </c>
      <c r="N31" s="42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</row>
    <row r="32" spans="1:27" ht="14.25" customHeight="1" x14ac:dyDescent="0.3">
      <c r="A32" s="27">
        <v>4029</v>
      </c>
      <c r="B32" s="26">
        <v>43187</v>
      </c>
      <c r="C32" s="27" t="s">
        <v>36</v>
      </c>
      <c r="D32" s="27"/>
      <c r="E32" s="27"/>
      <c r="F32" s="27"/>
      <c r="G32" s="27">
        <v>75</v>
      </c>
      <c r="H32" s="28" t="s">
        <v>39</v>
      </c>
      <c r="I32" s="29">
        <v>2817</v>
      </c>
      <c r="J32" s="27" t="s">
        <v>40</v>
      </c>
      <c r="K32" s="47"/>
      <c r="L32" s="29">
        <v>2817</v>
      </c>
      <c r="M32" s="30" t="s">
        <v>40</v>
      </c>
      <c r="N32" s="33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14.25" customHeight="1" x14ac:dyDescent="0.3">
      <c r="A33" s="35">
        <v>4030</v>
      </c>
      <c r="B33" s="36">
        <v>43187</v>
      </c>
      <c r="C33" s="35"/>
      <c r="D33" s="35" t="s">
        <v>45</v>
      </c>
      <c r="E33" s="35"/>
      <c r="F33" s="35"/>
      <c r="G33" s="35">
        <v>75</v>
      </c>
      <c r="H33" s="37" t="s">
        <v>46</v>
      </c>
      <c r="I33" s="38">
        <v>2927</v>
      </c>
      <c r="J33" s="39" t="s">
        <v>12</v>
      </c>
      <c r="K33" s="40"/>
      <c r="L33" s="21">
        <v>2464</v>
      </c>
      <c r="M33" s="49"/>
      <c r="N33" s="42" t="s">
        <v>45</v>
      </c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</row>
    <row r="34" spans="1:27" ht="14.25" customHeight="1" x14ac:dyDescent="0.3">
      <c r="A34" s="27">
        <v>4031</v>
      </c>
      <c r="B34" s="26">
        <v>43187</v>
      </c>
      <c r="C34" s="27"/>
      <c r="D34" s="27" t="s">
        <v>47</v>
      </c>
      <c r="E34" s="27"/>
      <c r="F34" s="27"/>
      <c r="G34" s="27">
        <v>75</v>
      </c>
      <c r="H34" s="28" t="s">
        <v>46</v>
      </c>
      <c r="I34" s="29">
        <v>2447</v>
      </c>
      <c r="J34" s="30"/>
      <c r="K34" s="28" t="s">
        <v>47</v>
      </c>
      <c r="L34" s="45">
        <v>2666</v>
      </c>
      <c r="M34" s="48" t="s">
        <v>12</v>
      </c>
      <c r="N34" s="33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14.25" customHeight="1" x14ac:dyDescent="0.3">
      <c r="A35" s="35">
        <v>4032</v>
      </c>
      <c r="B35" s="36">
        <v>43187</v>
      </c>
      <c r="C35" s="35" t="s">
        <v>48</v>
      </c>
      <c r="D35" s="35" t="s">
        <v>49</v>
      </c>
      <c r="E35" s="35"/>
      <c r="F35" s="35"/>
      <c r="G35" s="35">
        <v>75</v>
      </c>
      <c r="H35" s="37" t="s">
        <v>50</v>
      </c>
      <c r="I35" s="38"/>
      <c r="J35" s="39" t="s">
        <v>51</v>
      </c>
      <c r="K35" s="40" t="s">
        <v>47</v>
      </c>
      <c r="L35" s="21"/>
      <c r="M35" s="39" t="s">
        <v>51</v>
      </c>
      <c r="N35" s="42" t="s">
        <v>49</v>
      </c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</row>
    <row r="36" spans="1:27" ht="14.25" customHeight="1" x14ac:dyDescent="0.3">
      <c r="A36" s="25">
        <v>4033</v>
      </c>
      <c r="B36" s="26">
        <v>43187</v>
      </c>
      <c r="C36" s="27" t="s">
        <v>48</v>
      </c>
      <c r="D36" s="27" t="s">
        <v>47</v>
      </c>
      <c r="E36" s="27"/>
      <c r="F36" s="27"/>
      <c r="G36" s="27">
        <v>15</v>
      </c>
      <c r="H36" s="28" t="s">
        <v>50</v>
      </c>
      <c r="I36" s="29"/>
      <c r="J36" s="30" t="s">
        <v>51</v>
      </c>
      <c r="K36" s="47" t="s">
        <v>47</v>
      </c>
      <c r="L36" s="45"/>
      <c r="M36" s="30" t="s">
        <v>51</v>
      </c>
      <c r="N36" s="33" t="s">
        <v>49</v>
      </c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14.25" customHeight="1" x14ac:dyDescent="0.3">
      <c r="A37" s="25">
        <v>4034</v>
      </c>
      <c r="B37" s="36">
        <v>43187</v>
      </c>
      <c r="C37" s="35" t="s">
        <v>48</v>
      </c>
      <c r="D37" s="35" t="s">
        <v>47</v>
      </c>
      <c r="E37" s="35" t="s">
        <v>49</v>
      </c>
      <c r="F37" s="35"/>
      <c r="G37" s="35">
        <v>20</v>
      </c>
      <c r="H37" s="37" t="s">
        <v>50</v>
      </c>
      <c r="I37" s="38"/>
      <c r="J37" s="39" t="s">
        <v>51</v>
      </c>
      <c r="K37" s="40" t="s">
        <v>47</v>
      </c>
      <c r="L37" s="21"/>
      <c r="M37" s="39" t="s">
        <v>51</v>
      </c>
      <c r="N37" s="42" t="s">
        <v>49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</row>
    <row r="38" spans="1:27" ht="14.25" customHeight="1" x14ac:dyDescent="0.3">
      <c r="A38" s="27">
        <v>4035</v>
      </c>
      <c r="B38" s="26">
        <v>43187</v>
      </c>
      <c r="C38" s="27" t="s">
        <v>52</v>
      </c>
      <c r="D38" s="27"/>
      <c r="E38" s="27"/>
      <c r="F38" s="27"/>
      <c r="G38" s="27"/>
      <c r="H38" s="28" t="s">
        <v>39</v>
      </c>
      <c r="I38" s="29">
        <v>3058</v>
      </c>
      <c r="J38" s="30" t="s">
        <v>53</v>
      </c>
      <c r="K38" s="47"/>
      <c r="L38" s="45">
        <v>3071</v>
      </c>
      <c r="M38" s="48" t="s">
        <v>53</v>
      </c>
      <c r="N38" s="33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14.25" customHeight="1" x14ac:dyDescent="0.3">
      <c r="A39" s="25">
        <v>4036</v>
      </c>
      <c r="B39" s="36">
        <v>43187</v>
      </c>
      <c r="C39" s="49"/>
      <c r="D39" s="35" t="s">
        <v>54</v>
      </c>
      <c r="E39" s="35"/>
      <c r="F39" s="35"/>
      <c r="G39" s="35">
        <v>50</v>
      </c>
      <c r="H39" s="37" t="s">
        <v>50</v>
      </c>
      <c r="I39" s="38">
        <v>2927</v>
      </c>
      <c r="J39" s="39" t="s">
        <v>12</v>
      </c>
      <c r="K39" s="40"/>
      <c r="L39" s="21">
        <v>3052</v>
      </c>
      <c r="M39" s="41"/>
      <c r="N39" s="42" t="s">
        <v>54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</row>
    <row r="40" spans="1:27" ht="14.25" customHeight="1" x14ac:dyDescent="0.3">
      <c r="A40" s="27">
        <v>4037</v>
      </c>
      <c r="B40" s="26">
        <v>43187</v>
      </c>
      <c r="C40" s="27" t="s">
        <v>55</v>
      </c>
      <c r="D40" s="27"/>
      <c r="E40" s="27"/>
      <c r="F40" s="27"/>
      <c r="G40" s="27">
        <v>75</v>
      </c>
      <c r="H40" s="28" t="s">
        <v>50</v>
      </c>
      <c r="I40" s="29">
        <v>2670</v>
      </c>
      <c r="J40" s="27" t="s">
        <v>56</v>
      </c>
      <c r="K40" s="47"/>
      <c r="L40" s="45">
        <v>2670</v>
      </c>
      <c r="M40" s="30" t="s">
        <v>56</v>
      </c>
      <c r="N40" s="33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14.25" customHeight="1" x14ac:dyDescent="0.3">
      <c r="A41" s="25">
        <v>4038</v>
      </c>
      <c r="B41" s="36">
        <v>43187</v>
      </c>
      <c r="C41" s="35" t="s">
        <v>55</v>
      </c>
      <c r="D41" s="35" t="s">
        <v>57</v>
      </c>
      <c r="E41" s="35"/>
      <c r="F41" s="35"/>
      <c r="G41" s="35">
        <v>20</v>
      </c>
      <c r="H41" s="37" t="s">
        <v>50</v>
      </c>
      <c r="I41" s="38">
        <v>2670</v>
      </c>
      <c r="J41" s="35" t="s">
        <v>56</v>
      </c>
      <c r="K41" s="40"/>
      <c r="L41" s="21">
        <v>2976</v>
      </c>
      <c r="M41" s="39" t="s">
        <v>56</v>
      </c>
      <c r="N41" s="42" t="s">
        <v>57</v>
      </c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</row>
    <row r="42" spans="1:27" ht="14.25" customHeight="1" x14ac:dyDescent="0.3">
      <c r="A42" s="27">
        <v>4039</v>
      </c>
      <c r="B42" s="26">
        <v>43187</v>
      </c>
      <c r="C42" s="27"/>
      <c r="D42" s="27" t="s">
        <v>58</v>
      </c>
      <c r="E42" s="27" t="s">
        <v>59</v>
      </c>
      <c r="F42" s="27"/>
      <c r="G42" s="27">
        <v>50</v>
      </c>
      <c r="H42" s="28" t="s">
        <v>50</v>
      </c>
      <c r="I42" s="29"/>
      <c r="J42" s="50"/>
      <c r="K42" s="28" t="s">
        <v>60</v>
      </c>
      <c r="L42" s="45"/>
      <c r="M42" s="48"/>
      <c r="N42" s="33" t="s">
        <v>60</v>
      </c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14.25" customHeight="1" x14ac:dyDescent="0.3">
      <c r="A43" s="35">
        <v>4040</v>
      </c>
      <c r="B43" s="36">
        <v>43187</v>
      </c>
      <c r="C43" s="35"/>
      <c r="D43" s="35" t="s">
        <v>49</v>
      </c>
      <c r="E43" s="35"/>
      <c r="F43" s="35"/>
      <c r="G43" s="35">
        <v>50</v>
      </c>
      <c r="H43" s="37" t="s">
        <v>50</v>
      </c>
      <c r="I43" s="38">
        <v>2462</v>
      </c>
      <c r="J43" s="49"/>
      <c r="K43" s="37" t="s">
        <v>49</v>
      </c>
      <c r="L43" s="21">
        <v>2927</v>
      </c>
      <c r="M43" s="41" t="s">
        <v>12</v>
      </c>
      <c r="N43" s="42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</row>
    <row r="44" spans="1:27" ht="14.25" customHeight="1" x14ac:dyDescent="0.3">
      <c r="A44" s="27">
        <v>4041</v>
      </c>
      <c r="B44" s="26">
        <v>43187</v>
      </c>
      <c r="C44" s="27"/>
      <c r="D44" s="27" t="s">
        <v>61</v>
      </c>
      <c r="E44" s="27"/>
      <c r="F44" s="27"/>
      <c r="G44" s="27">
        <v>50</v>
      </c>
      <c r="H44" s="28" t="s">
        <v>50</v>
      </c>
      <c r="I44" s="29">
        <v>2768</v>
      </c>
      <c r="J44" s="30"/>
      <c r="K44" s="28" t="s">
        <v>61</v>
      </c>
      <c r="L44" s="45">
        <v>2768</v>
      </c>
      <c r="M44" s="48"/>
      <c r="N44" s="33" t="s">
        <v>61</v>
      </c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14.25" customHeight="1" x14ac:dyDescent="0.3">
      <c r="A45" s="35">
        <v>4042</v>
      </c>
      <c r="B45" s="36">
        <v>43187</v>
      </c>
      <c r="C45" s="35" t="s">
        <v>12</v>
      </c>
      <c r="D45" s="35"/>
      <c r="E45" s="35"/>
      <c r="F45" s="35"/>
      <c r="G45" s="35"/>
      <c r="H45" s="37" t="s">
        <v>39</v>
      </c>
      <c r="I45" s="38">
        <v>3044</v>
      </c>
      <c r="J45" s="39" t="s">
        <v>12</v>
      </c>
      <c r="K45" s="40"/>
      <c r="L45" s="21">
        <v>3044</v>
      </c>
      <c r="M45" s="41" t="s">
        <v>12</v>
      </c>
      <c r="N45" s="42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</row>
    <row r="46" spans="1:27" ht="14.25" customHeight="1" x14ac:dyDescent="0.3">
      <c r="A46" s="27">
        <v>4043</v>
      </c>
      <c r="B46" s="26">
        <v>43187</v>
      </c>
      <c r="C46" s="27" t="s">
        <v>12</v>
      </c>
      <c r="D46" s="27"/>
      <c r="E46" s="27"/>
      <c r="F46" s="27"/>
      <c r="G46" s="27"/>
      <c r="H46" s="28" t="s">
        <v>39</v>
      </c>
      <c r="I46" s="29">
        <v>3044</v>
      </c>
      <c r="J46" s="30" t="s">
        <v>12</v>
      </c>
      <c r="K46" s="47"/>
      <c r="L46" s="45">
        <v>3044</v>
      </c>
      <c r="M46" s="48" t="s">
        <v>12</v>
      </c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14.25" customHeight="1" x14ac:dyDescent="0.3">
      <c r="A47" s="35">
        <v>4044</v>
      </c>
      <c r="B47" s="36">
        <v>43187</v>
      </c>
      <c r="C47" s="35" t="s">
        <v>12</v>
      </c>
      <c r="D47" s="35"/>
      <c r="E47" s="35"/>
      <c r="F47" s="35"/>
      <c r="G47" s="35"/>
      <c r="H47" s="37" t="s">
        <v>39</v>
      </c>
      <c r="I47" s="38">
        <v>2946</v>
      </c>
      <c r="J47" s="39" t="s">
        <v>12</v>
      </c>
      <c r="K47" s="40"/>
      <c r="L47" s="21">
        <v>2946</v>
      </c>
      <c r="M47" s="41" t="s">
        <v>12</v>
      </c>
      <c r="N47" s="42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</row>
    <row r="48" spans="1:27" ht="14.25" customHeight="1" x14ac:dyDescent="0.3">
      <c r="A48" s="25">
        <v>4045</v>
      </c>
      <c r="B48" s="26">
        <v>43187</v>
      </c>
      <c r="C48" s="27" t="s">
        <v>12</v>
      </c>
      <c r="D48" s="27"/>
      <c r="E48" s="27"/>
      <c r="F48" s="27"/>
      <c r="G48" s="27">
        <v>75</v>
      </c>
      <c r="H48" s="44" t="s">
        <v>50</v>
      </c>
      <c r="I48" s="50">
        <v>2664</v>
      </c>
      <c r="J48" s="30" t="s">
        <v>12</v>
      </c>
      <c r="K48" s="44"/>
      <c r="L48" s="50">
        <v>2664</v>
      </c>
      <c r="M48" s="30" t="s">
        <v>12</v>
      </c>
      <c r="N48" s="33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14.25" customHeight="1" x14ac:dyDescent="0.3">
      <c r="A49" s="25">
        <v>4046</v>
      </c>
      <c r="B49" s="36">
        <v>43187</v>
      </c>
      <c r="C49" s="35" t="s">
        <v>62</v>
      </c>
      <c r="D49" s="35"/>
      <c r="E49" s="35"/>
      <c r="F49" s="35"/>
      <c r="G49" s="35">
        <v>75</v>
      </c>
      <c r="H49" s="46" t="s">
        <v>50</v>
      </c>
      <c r="I49" s="38">
        <v>2891</v>
      </c>
      <c r="J49" s="39" t="s">
        <v>12</v>
      </c>
      <c r="K49" s="40"/>
      <c r="L49" s="21">
        <v>2440</v>
      </c>
      <c r="M49" s="41" t="s">
        <v>63</v>
      </c>
      <c r="N49" s="42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</row>
    <row r="50" spans="1:27" ht="14.25" customHeight="1" x14ac:dyDescent="0.3">
      <c r="A50" s="27">
        <v>4047</v>
      </c>
      <c r="B50" s="26">
        <v>43187</v>
      </c>
      <c r="C50" s="27"/>
      <c r="D50" s="27" t="s">
        <v>61</v>
      </c>
      <c r="E50" s="27" t="s">
        <v>49</v>
      </c>
      <c r="F50" s="27"/>
      <c r="G50" s="27">
        <v>50</v>
      </c>
      <c r="H50" s="44" t="s">
        <v>50</v>
      </c>
      <c r="I50" s="29">
        <v>2768</v>
      </c>
      <c r="J50" s="30"/>
      <c r="K50" s="28" t="s">
        <v>64</v>
      </c>
      <c r="L50" s="45">
        <v>2768</v>
      </c>
      <c r="M50" s="48"/>
      <c r="N50" s="33" t="s">
        <v>64</v>
      </c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14.25" customHeight="1" x14ac:dyDescent="0.3">
      <c r="A51" s="25">
        <v>4048</v>
      </c>
      <c r="B51" s="36">
        <v>43187</v>
      </c>
      <c r="C51" s="35"/>
      <c r="D51" s="35" t="s">
        <v>57</v>
      </c>
      <c r="E51" s="35"/>
      <c r="F51" s="35"/>
      <c r="G51" s="35">
        <v>25</v>
      </c>
      <c r="H51" s="46" t="s">
        <v>50</v>
      </c>
      <c r="I51" s="38">
        <v>2463</v>
      </c>
      <c r="J51" s="39"/>
      <c r="K51" s="37" t="s">
        <v>57</v>
      </c>
      <c r="L51" s="21">
        <v>2666</v>
      </c>
      <c r="M51" s="41" t="s">
        <v>12</v>
      </c>
      <c r="N51" s="42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</row>
    <row r="52" spans="1:27" ht="14.25" customHeight="1" x14ac:dyDescent="0.3">
      <c r="A52" s="27">
        <v>4049</v>
      </c>
      <c r="B52" s="26">
        <v>43187</v>
      </c>
      <c r="C52" s="27" t="s">
        <v>65</v>
      </c>
      <c r="D52" s="27"/>
      <c r="E52" s="27"/>
      <c r="F52" s="27"/>
      <c r="G52" s="27">
        <v>50</v>
      </c>
      <c r="H52" s="44" t="s">
        <v>50</v>
      </c>
      <c r="I52" s="29">
        <v>2891</v>
      </c>
      <c r="J52" s="30" t="s">
        <v>12</v>
      </c>
      <c r="K52" s="47"/>
      <c r="L52" s="45">
        <v>2830</v>
      </c>
      <c r="M52" s="48" t="s">
        <v>66</v>
      </c>
      <c r="N52" s="51" t="s">
        <v>57</v>
      </c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14.25" customHeight="1" x14ac:dyDescent="0.3">
      <c r="A53" s="35">
        <v>4050</v>
      </c>
      <c r="B53" s="36">
        <v>43187</v>
      </c>
      <c r="C53" s="35" t="s">
        <v>65</v>
      </c>
      <c r="D53" s="35" t="s">
        <v>57</v>
      </c>
      <c r="E53" s="35"/>
      <c r="F53" s="35"/>
      <c r="G53" s="35">
        <v>50</v>
      </c>
      <c r="H53" s="46" t="s">
        <v>50</v>
      </c>
      <c r="I53" s="38">
        <v>2891</v>
      </c>
      <c r="J53" s="39" t="s">
        <v>12</v>
      </c>
      <c r="K53" s="40"/>
      <c r="L53" s="21">
        <v>2830</v>
      </c>
      <c r="M53" s="41" t="s">
        <v>66</v>
      </c>
      <c r="N53" s="52" t="s">
        <v>57</v>
      </c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</row>
    <row r="54" spans="1:27" ht="14.25" customHeight="1" x14ac:dyDescent="0.3">
      <c r="A54" s="27">
        <v>4051</v>
      </c>
      <c r="B54" s="26">
        <v>43187</v>
      </c>
      <c r="C54" s="27" t="s">
        <v>67</v>
      </c>
      <c r="D54" s="27" t="s">
        <v>49</v>
      </c>
      <c r="E54" s="27"/>
      <c r="F54" s="27"/>
      <c r="G54" s="27">
        <v>75</v>
      </c>
      <c r="H54" s="44" t="s">
        <v>50</v>
      </c>
      <c r="I54" s="29">
        <v>2247</v>
      </c>
      <c r="J54" s="27" t="s">
        <v>68</v>
      </c>
      <c r="K54" s="28" t="s">
        <v>49</v>
      </c>
      <c r="L54" s="45">
        <v>2247</v>
      </c>
      <c r="M54" s="30" t="s">
        <v>69</v>
      </c>
      <c r="N54" s="33" t="s">
        <v>49</v>
      </c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14.25" customHeight="1" x14ac:dyDescent="0.3">
      <c r="A55" s="25">
        <v>4052</v>
      </c>
      <c r="B55" s="36">
        <v>43187</v>
      </c>
      <c r="C55" s="35" t="s">
        <v>67</v>
      </c>
      <c r="D55" s="35"/>
      <c r="E55" s="35"/>
      <c r="F55" s="35"/>
      <c r="G55" s="35">
        <v>50</v>
      </c>
      <c r="H55" s="46" t="s">
        <v>50</v>
      </c>
      <c r="I55" s="38">
        <v>2247</v>
      </c>
      <c r="J55" s="35" t="s">
        <v>68</v>
      </c>
      <c r="K55" s="37" t="s">
        <v>49</v>
      </c>
      <c r="L55" s="21">
        <v>2247</v>
      </c>
      <c r="M55" s="39" t="s">
        <v>69</v>
      </c>
      <c r="N55" s="42" t="s">
        <v>49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</row>
    <row r="56" spans="1:27" ht="14.25" customHeight="1" x14ac:dyDescent="0.3">
      <c r="A56" s="27">
        <v>4053</v>
      </c>
      <c r="B56" s="26">
        <v>43187</v>
      </c>
      <c r="C56" s="27" t="s">
        <v>65</v>
      </c>
      <c r="D56" s="27" t="s">
        <v>70</v>
      </c>
      <c r="E56" s="27"/>
      <c r="F56" s="27"/>
      <c r="G56" s="27">
        <v>50</v>
      </c>
      <c r="H56" s="44" t="s">
        <v>50</v>
      </c>
      <c r="I56" s="29">
        <v>2927</v>
      </c>
      <c r="J56" s="30" t="s">
        <v>12</v>
      </c>
      <c r="K56" s="47"/>
      <c r="L56" s="45">
        <v>2757</v>
      </c>
      <c r="M56" s="30" t="s">
        <v>65</v>
      </c>
      <c r="N56" s="33" t="s">
        <v>70</v>
      </c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14.25" customHeight="1" x14ac:dyDescent="0.3">
      <c r="A57" s="35">
        <v>4054</v>
      </c>
      <c r="B57" s="36">
        <v>43187</v>
      </c>
      <c r="C57" s="35" t="s">
        <v>65</v>
      </c>
      <c r="D57" s="35"/>
      <c r="E57" s="35"/>
      <c r="F57" s="35"/>
      <c r="G57" s="35">
        <v>75</v>
      </c>
      <c r="H57" s="46" t="s">
        <v>50</v>
      </c>
      <c r="I57" s="38">
        <v>2927</v>
      </c>
      <c r="J57" s="39" t="s">
        <v>12</v>
      </c>
      <c r="K57" s="40"/>
      <c r="L57" s="21">
        <v>2757</v>
      </c>
      <c r="M57" s="39" t="s">
        <v>65</v>
      </c>
      <c r="N57" s="42" t="s">
        <v>70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</row>
    <row r="58" spans="1:27" ht="14.25" customHeight="1" x14ac:dyDescent="0.3">
      <c r="A58" s="27">
        <v>4055</v>
      </c>
      <c r="B58" s="26">
        <v>43187</v>
      </c>
      <c r="C58" s="27"/>
      <c r="D58" s="27" t="s">
        <v>71</v>
      </c>
      <c r="E58" s="27"/>
      <c r="F58" s="27"/>
      <c r="G58" s="27">
        <v>50</v>
      </c>
      <c r="H58" s="44" t="s">
        <v>50</v>
      </c>
      <c r="I58" s="29">
        <v>2691</v>
      </c>
      <c r="J58" s="30"/>
      <c r="K58" s="28" t="s">
        <v>71</v>
      </c>
      <c r="L58" s="45">
        <v>2691</v>
      </c>
      <c r="M58" s="48"/>
      <c r="N58" s="33" t="s">
        <v>71</v>
      </c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14.25" customHeight="1" x14ac:dyDescent="0.3">
      <c r="A59" s="35">
        <v>4056</v>
      </c>
      <c r="B59" s="36">
        <v>43187</v>
      </c>
      <c r="C59" s="35"/>
      <c r="D59" s="35" t="s">
        <v>71</v>
      </c>
      <c r="E59" s="35"/>
      <c r="F59" s="35"/>
      <c r="G59" s="35">
        <v>50</v>
      </c>
      <c r="H59" s="46" t="s">
        <v>50</v>
      </c>
      <c r="I59" s="38">
        <v>2691</v>
      </c>
      <c r="J59" s="39"/>
      <c r="K59" s="37" t="s">
        <v>71</v>
      </c>
      <c r="L59" s="21">
        <v>2691</v>
      </c>
      <c r="M59" s="41"/>
      <c r="N59" s="42" t="s">
        <v>71</v>
      </c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</row>
    <row r="60" spans="1:27" ht="14.25" customHeight="1" x14ac:dyDescent="0.3">
      <c r="A60" s="27">
        <v>4057</v>
      </c>
      <c r="B60" s="26">
        <v>43187</v>
      </c>
      <c r="C60" s="27"/>
      <c r="D60" s="27" t="s">
        <v>72</v>
      </c>
      <c r="E60" s="27" t="s">
        <v>73</v>
      </c>
      <c r="F60" s="27" t="s">
        <v>59</v>
      </c>
      <c r="G60" s="27">
        <v>75</v>
      </c>
      <c r="H60" s="44" t="s">
        <v>46</v>
      </c>
      <c r="I60" s="29"/>
      <c r="J60" s="30"/>
      <c r="K60" s="28" t="s">
        <v>74</v>
      </c>
      <c r="L60" s="45"/>
      <c r="M60" s="48"/>
      <c r="N60" s="33" t="s">
        <v>74</v>
      </c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14.25" customHeight="1" x14ac:dyDescent="0.3">
      <c r="A61" s="35">
        <v>4058</v>
      </c>
      <c r="B61" s="36">
        <v>43187</v>
      </c>
      <c r="C61" s="35"/>
      <c r="D61" s="35" t="s">
        <v>72</v>
      </c>
      <c r="E61" s="35" t="s">
        <v>73</v>
      </c>
      <c r="F61" s="35"/>
      <c r="G61" s="35">
        <v>50</v>
      </c>
      <c r="H61" s="37" t="s">
        <v>50</v>
      </c>
      <c r="I61" s="38"/>
      <c r="J61" s="39"/>
      <c r="K61" s="37" t="s">
        <v>74</v>
      </c>
      <c r="L61" s="21"/>
      <c r="M61" s="41"/>
      <c r="N61" s="42" t="s">
        <v>74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</row>
    <row r="62" spans="1:27" ht="14.25" customHeight="1" x14ac:dyDescent="0.3">
      <c r="A62" s="27">
        <v>4059</v>
      </c>
      <c r="B62" s="26">
        <v>43187</v>
      </c>
      <c r="C62" s="27"/>
      <c r="D62" s="27" t="s">
        <v>49</v>
      </c>
      <c r="E62" s="27"/>
      <c r="F62" s="27"/>
      <c r="G62" s="27">
        <v>50</v>
      </c>
      <c r="H62" s="28" t="s">
        <v>50</v>
      </c>
      <c r="I62" s="29">
        <v>2462</v>
      </c>
      <c r="J62" s="30"/>
      <c r="K62" s="28" t="s">
        <v>49</v>
      </c>
      <c r="L62" s="45">
        <v>2927</v>
      </c>
      <c r="M62" s="48" t="s">
        <v>12</v>
      </c>
      <c r="N62" s="33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14.25" customHeight="1" x14ac:dyDescent="0.3">
      <c r="A63" s="35">
        <v>4060</v>
      </c>
      <c r="B63" s="36">
        <v>43187</v>
      </c>
      <c r="C63" s="35"/>
      <c r="D63" s="35" t="s">
        <v>75</v>
      </c>
      <c r="E63" s="35"/>
      <c r="F63" s="35"/>
      <c r="G63" s="35"/>
      <c r="H63" s="37" t="s">
        <v>76</v>
      </c>
      <c r="I63" s="38">
        <v>2960</v>
      </c>
      <c r="J63" s="39"/>
      <c r="K63" s="40" t="s">
        <v>12</v>
      </c>
      <c r="L63" s="21">
        <v>1787</v>
      </c>
      <c r="M63" s="41"/>
      <c r="N63" s="42" t="s">
        <v>75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</row>
    <row r="64" spans="1:27" ht="14.25" customHeight="1" x14ac:dyDescent="0.3">
      <c r="A64" s="27">
        <v>4061</v>
      </c>
      <c r="B64" s="26">
        <v>43187</v>
      </c>
      <c r="C64" s="27"/>
      <c r="D64" s="27" t="s">
        <v>75</v>
      </c>
      <c r="E64" s="27"/>
      <c r="F64" s="27"/>
      <c r="G64" s="27"/>
      <c r="H64" s="28" t="s">
        <v>76</v>
      </c>
      <c r="I64" s="29">
        <v>2960</v>
      </c>
      <c r="J64" s="30"/>
      <c r="K64" s="47" t="s">
        <v>12</v>
      </c>
      <c r="L64" s="45">
        <v>1787</v>
      </c>
      <c r="M64" s="48"/>
      <c r="N64" s="33" t="s">
        <v>75</v>
      </c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14.25" customHeight="1" x14ac:dyDescent="0.3">
      <c r="A65" s="35">
        <v>4062</v>
      </c>
      <c r="B65" s="36">
        <v>43187</v>
      </c>
      <c r="C65" s="35"/>
      <c r="D65" s="35" t="s">
        <v>75</v>
      </c>
      <c r="E65" s="35"/>
      <c r="F65" s="35"/>
      <c r="G65" s="35"/>
      <c r="H65" s="37" t="s">
        <v>76</v>
      </c>
      <c r="I65" s="38">
        <v>2960</v>
      </c>
      <c r="J65" s="39"/>
      <c r="K65" s="40" t="s">
        <v>12</v>
      </c>
      <c r="L65" s="21">
        <v>1787</v>
      </c>
      <c r="M65" s="41"/>
      <c r="N65" s="42" t="s">
        <v>75</v>
      </c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</row>
    <row r="66" spans="1:27" ht="14.25" customHeight="1" x14ac:dyDescent="0.3">
      <c r="A66" s="27">
        <v>4063</v>
      </c>
      <c r="B66" s="26">
        <v>43187</v>
      </c>
      <c r="C66" s="27"/>
      <c r="D66" s="27" t="s">
        <v>75</v>
      </c>
      <c r="E66" s="27"/>
      <c r="F66" s="27"/>
      <c r="G66" s="27"/>
      <c r="H66" s="28" t="s">
        <v>76</v>
      </c>
      <c r="I66" s="29">
        <v>2960</v>
      </c>
      <c r="J66" s="30"/>
      <c r="K66" s="47" t="s">
        <v>12</v>
      </c>
      <c r="L66" s="45">
        <v>1787</v>
      </c>
      <c r="M66" s="48"/>
      <c r="N66" s="33" t="s">
        <v>75</v>
      </c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14.25" customHeight="1" x14ac:dyDescent="0.3">
      <c r="A67" s="35">
        <v>4064</v>
      </c>
      <c r="B67" s="36">
        <v>43187</v>
      </c>
      <c r="C67" s="35"/>
      <c r="D67" s="35" t="s">
        <v>75</v>
      </c>
      <c r="E67" s="35"/>
      <c r="F67" s="35"/>
      <c r="G67" s="35"/>
      <c r="H67" s="37" t="s">
        <v>76</v>
      </c>
      <c r="I67" s="38">
        <v>2960</v>
      </c>
      <c r="J67" s="39"/>
      <c r="K67" s="40" t="s">
        <v>12</v>
      </c>
      <c r="L67" s="21">
        <v>1787</v>
      </c>
      <c r="M67" s="41"/>
      <c r="N67" s="42" t="s">
        <v>75</v>
      </c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</row>
    <row r="68" spans="1:27" ht="14.25" customHeight="1" x14ac:dyDescent="0.3">
      <c r="A68" s="27">
        <v>4065</v>
      </c>
      <c r="B68" s="26">
        <v>43187</v>
      </c>
      <c r="C68" s="27" t="s">
        <v>77</v>
      </c>
      <c r="D68" s="27"/>
      <c r="E68" s="27"/>
      <c r="F68" s="27"/>
      <c r="G68" s="27"/>
      <c r="H68" s="28" t="s">
        <v>76</v>
      </c>
      <c r="I68" s="29">
        <v>2770</v>
      </c>
      <c r="J68" s="30"/>
      <c r="K68" s="47" t="s">
        <v>77</v>
      </c>
      <c r="L68" s="29">
        <v>2770</v>
      </c>
      <c r="M68" s="30"/>
      <c r="N68" s="33" t="s">
        <v>77</v>
      </c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14.25" customHeight="1" x14ac:dyDescent="0.3">
      <c r="A69" s="35">
        <v>4066</v>
      </c>
      <c r="B69" s="36">
        <v>43187</v>
      </c>
      <c r="C69" s="35"/>
      <c r="D69" s="35" t="s">
        <v>78</v>
      </c>
      <c r="E69" s="35"/>
      <c r="F69" s="35"/>
      <c r="G69" s="35"/>
      <c r="H69" s="37" t="s">
        <v>76</v>
      </c>
      <c r="I69" s="38">
        <v>2960</v>
      </c>
      <c r="J69" s="39"/>
      <c r="K69" s="40" t="s">
        <v>12</v>
      </c>
      <c r="L69" s="21">
        <v>1772</v>
      </c>
      <c r="M69" s="41"/>
      <c r="N69" s="42" t="s">
        <v>78</v>
      </c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</row>
    <row r="70" spans="1:27" ht="14.25" customHeight="1" x14ac:dyDescent="0.3">
      <c r="A70" s="27">
        <v>4067</v>
      </c>
      <c r="B70" s="26">
        <v>43187</v>
      </c>
      <c r="C70" s="27"/>
      <c r="D70" s="27" t="s">
        <v>79</v>
      </c>
      <c r="E70" s="27"/>
      <c r="F70" s="27"/>
      <c r="G70" s="27"/>
      <c r="H70" s="28" t="s">
        <v>76</v>
      </c>
      <c r="I70" s="29">
        <v>2960</v>
      </c>
      <c r="J70" s="30"/>
      <c r="K70" s="47" t="s">
        <v>12</v>
      </c>
      <c r="L70" s="45">
        <v>2021</v>
      </c>
      <c r="M70" s="48"/>
      <c r="N70" s="33" t="s">
        <v>79</v>
      </c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14.25" customHeight="1" x14ac:dyDescent="0.3">
      <c r="A71" s="35">
        <v>4068</v>
      </c>
      <c r="B71" s="36">
        <v>43194</v>
      </c>
      <c r="C71" s="35" t="s">
        <v>12</v>
      </c>
      <c r="D71" s="35"/>
      <c r="E71" s="35"/>
      <c r="F71" s="35"/>
      <c r="G71" s="35"/>
      <c r="H71" s="37" t="s">
        <v>80</v>
      </c>
      <c r="I71" s="38">
        <v>3044</v>
      </c>
      <c r="J71" s="39" t="s">
        <v>12</v>
      </c>
      <c r="K71" s="40"/>
      <c r="L71" s="21">
        <v>3044</v>
      </c>
      <c r="M71" s="41" t="s">
        <v>12</v>
      </c>
      <c r="N71" s="42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</row>
    <row r="72" spans="1:27" ht="14.25" customHeight="1" x14ac:dyDescent="0.3">
      <c r="A72" s="27">
        <v>4069</v>
      </c>
      <c r="B72" s="53">
        <v>43194</v>
      </c>
      <c r="C72" s="27" t="s">
        <v>12</v>
      </c>
      <c r="D72" s="27"/>
      <c r="E72" s="27"/>
      <c r="F72" s="27"/>
      <c r="G72" s="27"/>
      <c r="H72" s="28" t="s">
        <v>81</v>
      </c>
      <c r="I72" s="29">
        <v>3045</v>
      </c>
      <c r="J72" s="30" t="s">
        <v>12</v>
      </c>
      <c r="K72" s="47"/>
      <c r="L72" s="45">
        <v>3045</v>
      </c>
      <c r="M72" s="48" t="s">
        <v>12</v>
      </c>
      <c r="N72" s="33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14.25" customHeight="1" x14ac:dyDescent="0.3">
      <c r="A73" s="35">
        <v>4070</v>
      </c>
      <c r="B73" s="54">
        <v>43194</v>
      </c>
      <c r="C73" s="35" t="s">
        <v>82</v>
      </c>
      <c r="D73" s="35"/>
      <c r="E73" s="35"/>
      <c r="F73" s="35"/>
      <c r="G73" s="35"/>
      <c r="H73" s="37" t="s">
        <v>81</v>
      </c>
      <c r="I73" s="38">
        <v>1738</v>
      </c>
      <c r="J73" s="39" t="s">
        <v>82</v>
      </c>
      <c r="K73" s="40"/>
      <c r="L73" s="21">
        <v>1738</v>
      </c>
      <c r="M73" s="41" t="s">
        <v>82</v>
      </c>
      <c r="N73" s="42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</row>
    <row r="74" spans="1:27" ht="14.25" customHeight="1" x14ac:dyDescent="0.3">
      <c r="A74" s="27">
        <v>4071</v>
      </c>
      <c r="B74" s="53">
        <v>43194</v>
      </c>
      <c r="C74" s="27" t="s">
        <v>52</v>
      </c>
      <c r="D74" s="27"/>
      <c r="E74" s="27"/>
      <c r="F74" s="27"/>
      <c r="G74" s="27"/>
      <c r="H74" s="28" t="s">
        <v>81</v>
      </c>
      <c r="I74" s="29" t="s">
        <v>83</v>
      </c>
      <c r="J74" s="30"/>
      <c r="K74" s="47" t="s">
        <v>52</v>
      </c>
      <c r="L74" s="45" t="s">
        <v>83</v>
      </c>
      <c r="M74" s="48"/>
      <c r="N74" s="33" t="s">
        <v>52</v>
      </c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14.25" customHeight="1" x14ac:dyDescent="0.3">
      <c r="A75" s="35">
        <v>4072</v>
      </c>
      <c r="B75" s="54">
        <v>43194</v>
      </c>
      <c r="C75" s="35"/>
      <c r="D75" s="35" t="s">
        <v>84</v>
      </c>
      <c r="E75" s="35"/>
      <c r="F75" s="35"/>
      <c r="G75" s="35">
        <v>28</v>
      </c>
      <c r="H75" s="37" t="s">
        <v>33</v>
      </c>
      <c r="I75" s="38">
        <v>2229</v>
      </c>
      <c r="J75" s="39"/>
      <c r="K75" s="37" t="s">
        <v>84</v>
      </c>
      <c r="L75" s="21">
        <v>2229</v>
      </c>
      <c r="N75" s="42" t="s">
        <v>84</v>
      </c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</row>
    <row r="76" spans="1:27" ht="14.25" customHeight="1" x14ac:dyDescent="0.3">
      <c r="A76" s="27">
        <v>4073</v>
      </c>
      <c r="B76" s="53">
        <v>43194</v>
      </c>
      <c r="C76" s="27"/>
      <c r="D76" s="27" t="s">
        <v>84</v>
      </c>
      <c r="E76" s="27"/>
      <c r="F76" s="27"/>
      <c r="G76" s="27">
        <v>45</v>
      </c>
      <c r="H76" s="28" t="s">
        <v>33</v>
      </c>
      <c r="I76" s="29">
        <v>2847</v>
      </c>
      <c r="J76" s="30" t="s">
        <v>85</v>
      </c>
      <c r="K76" s="47"/>
      <c r="L76" s="45">
        <v>2841</v>
      </c>
      <c r="M76" s="48"/>
      <c r="N76" s="33" t="s">
        <v>86</v>
      </c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14.25" customHeight="1" x14ac:dyDescent="0.3">
      <c r="A77" s="35">
        <v>4074</v>
      </c>
      <c r="B77" s="54">
        <v>43194</v>
      </c>
      <c r="C77" s="35"/>
      <c r="D77" s="35" t="s">
        <v>87</v>
      </c>
      <c r="E77" s="35"/>
      <c r="F77" s="35"/>
      <c r="G77" s="35">
        <v>0</v>
      </c>
      <c r="H77" s="37" t="s">
        <v>33</v>
      </c>
      <c r="I77" s="38">
        <v>2752</v>
      </c>
      <c r="J77" s="39"/>
      <c r="K77" s="37" t="s">
        <v>87</v>
      </c>
      <c r="L77" s="21">
        <v>2752</v>
      </c>
      <c r="M77" s="41"/>
      <c r="N77" s="42" t="s">
        <v>87</v>
      </c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</row>
    <row r="78" spans="1:27" ht="14.25" customHeight="1" x14ac:dyDescent="0.3">
      <c r="A78" s="27">
        <v>4075</v>
      </c>
      <c r="B78" s="53">
        <v>43194</v>
      </c>
      <c r="C78" s="27"/>
      <c r="D78" s="27" t="s">
        <v>87</v>
      </c>
      <c r="E78" s="27"/>
      <c r="F78" s="27"/>
      <c r="G78" s="27">
        <v>13</v>
      </c>
      <c r="H78" s="28" t="s">
        <v>33</v>
      </c>
      <c r="I78" s="29">
        <v>2847</v>
      </c>
      <c r="J78" s="30" t="s">
        <v>85</v>
      </c>
      <c r="K78" s="47"/>
      <c r="L78" s="45">
        <v>2481</v>
      </c>
      <c r="M78" s="48"/>
      <c r="N78" s="33" t="s">
        <v>88</v>
      </c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14.25" customHeight="1" x14ac:dyDescent="0.3">
      <c r="A79" s="35">
        <v>4076</v>
      </c>
      <c r="B79" s="54">
        <v>43194</v>
      </c>
      <c r="C79" s="35"/>
      <c r="D79" s="35" t="s">
        <v>84</v>
      </c>
      <c r="E79" s="35" t="s">
        <v>89</v>
      </c>
      <c r="F79" s="35"/>
      <c r="G79" s="35">
        <v>20</v>
      </c>
      <c r="H79" s="37" t="s">
        <v>33</v>
      </c>
      <c r="I79" s="38">
        <v>2847</v>
      </c>
      <c r="J79" s="39" t="s">
        <v>85</v>
      </c>
      <c r="K79" s="40"/>
      <c r="L79" s="21">
        <v>2841</v>
      </c>
      <c r="M79" s="41"/>
      <c r="N79" s="42" t="s">
        <v>86</v>
      </c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</row>
    <row r="80" spans="1:27" ht="14.25" customHeight="1" x14ac:dyDescent="0.3">
      <c r="A80" s="27">
        <v>4077</v>
      </c>
      <c r="B80" s="53">
        <v>43194</v>
      </c>
      <c r="C80" s="27"/>
      <c r="D80" s="27" t="s">
        <v>87</v>
      </c>
      <c r="E80" s="27" t="s">
        <v>89</v>
      </c>
      <c r="F80" s="27"/>
      <c r="G80" s="27">
        <v>8</v>
      </c>
      <c r="H80" s="28" t="s">
        <v>33</v>
      </c>
      <c r="I80" s="29">
        <v>2847</v>
      </c>
      <c r="J80" s="30" t="s">
        <v>85</v>
      </c>
      <c r="K80" s="47"/>
      <c r="L80" s="45">
        <v>2481</v>
      </c>
      <c r="M80" s="48"/>
      <c r="N80" s="33" t="s">
        <v>88</v>
      </c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14.25" customHeight="1" x14ac:dyDescent="0.3">
      <c r="A81" s="35">
        <v>4078</v>
      </c>
      <c r="B81" s="54">
        <v>43194</v>
      </c>
      <c r="C81" s="35"/>
      <c r="D81" s="35" t="s">
        <v>89</v>
      </c>
      <c r="E81" s="35"/>
      <c r="F81" s="35"/>
      <c r="G81" s="35">
        <v>35</v>
      </c>
      <c r="H81" s="37" t="s">
        <v>33</v>
      </c>
      <c r="I81" s="38">
        <v>2847</v>
      </c>
      <c r="J81" s="39" t="s">
        <v>85</v>
      </c>
      <c r="K81" s="40"/>
      <c r="L81" s="21" t="s">
        <v>90</v>
      </c>
      <c r="M81" s="41"/>
      <c r="N81" s="42" t="s">
        <v>88</v>
      </c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</row>
    <row r="82" spans="1:27" ht="14.25" customHeight="1" x14ac:dyDescent="0.3">
      <c r="A82" s="27">
        <v>4079</v>
      </c>
      <c r="B82" s="53">
        <v>43194</v>
      </c>
      <c r="C82" s="27"/>
      <c r="D82" s="27" t="s">
        <v>89</v>
      </c>
      <c r="E82" s="27"/>
      <c r="F82" s="27"/>
      <c r="G82" s="27">
        <v>70</v>
      </c>
      <c r="H82" s="28" t="s">
        <v>33</v>
      </c>
      <c r="I82" s="45">
        <v>2481</v>
      </c>
      <c r="J82" s="30"/>
      <c r="K82" s="28" t="s">
        <v>88</v>
      </c>
      <c r="L82" s="29">
        <v>2847</v>
      </c>
      <c r="M82" s="30" t="s">
        <v>85</v>
      </c>
      <c r="N82" s="33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14.25" customHeight="1" x14ac:dyDescent="0.3">
      <c r="A83" s="35">
        <v>4080</v>
      </c>
      <c r="B83" s="54">
        <v>43194</v>
      </c>
      <c r="C83" s="35"/>
      <c r="D83" s="35" t="s">
        <v>91</v>
      </c>
      <c r="E83" s="35"/>
      <c r="F83" s="35"/>
      <c r="G83" s="35">
        <v>12</v>
      </c>
      <c r="H83" s="37" t="s">
        <v>33</v>
      </c>
      <c r="I83" s="38">
        <v>3118</v>
      </c>
      <c r="J83" s="39"/>
      <c r="K83" s="40" t="s">
        <v>34</v>
      </c>
      <c r="L83" s="21">
        <v>2895</v>
      </c>
      <c r="M83" s="41" t="s">
        <v>85</v>
      </c>
      <c r="N83" s="42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</row>
    <row r="84" spans="1:27" ht="14.25" customHeight="1" x14ac:dyDescent="0.3">
      <c r="A84" s="27">
        <v>4081</v>
      </c>
      <c r="B84" s="55">
        <v>43194</v>
      </c>
      <c r="C84" s="27"/>
      <c r="D84" s="27" t="s">
        <v>92</v>
      </c>
      <c r="E84" s="27"/>
      <c r="F84" s="27"/>
      <c r="G84" s="27">
        <v>25</v>
      </c>
      <c r="H84" s="28" t="s">
        <v>33</v>
      </c>
      <c r="I84" s="29">
        <v>2905</v>
      </c>
      <c r="J84" s="30"/>
      <c r="K84" s="47" t="s">
        <v>93</v>
      </c>
      <c r="L84" s="45">
        <v>2782</v>
      </c>
      <c r="N84" s="33" t="s">
        <v>94</v>
      </c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14.25" customHeight="1" x14ac:dyDescent="0.3">
      <c r="A85" s="35">
        <v>4082</v>
      </c>
      <c r="B85" s="54">
        <v>43194</v>
      </c>
      <c r="C85" s="35"/>
      <c r="D85" s="41" t="s">
        <v>94</v>
      </c>
      <c r="E85" s="56" t="s">
        <v>95</v>
      </c>
      <c r="F85" s="57" t="s">
        <v>96</v>
      </c>
      <c r="G85" s="35">
        <v>9</v>
      </c>
      <c r="H85" s="37" t="s">
        <v>33</v>
      </c>
      <c r="I85" s="38">
        <v>2905</v>
      </c>
      <c r="J85" s="39"/>
      <c r="K85" s="40" t="s">
        <v>93</v>
      </c>
      <c r="L85" s="21">
        <v>2782</v>
      </c>
      <c r="N85" s="42" t="s">
        <v>94</v>
      </c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</row>
    <row r="86" spans="1:27" ht="14.25" customHeight="1" x14ac:dyDescent="0.3">
      <c r="A86" s="27">
        <v>4083</v>
      </c>
      <c r="B86" s="53">
        <v>43194</v>
      </c>
      <c r="C86" s="27"/>
      <c r="D86" s="27" t="s">
        <v>94</v>
      </c>
      <c r="E86" s="27" t="s">
        <v>95</v>
      </c>
      <c r="F86" s="27"/>
      <c r="G86" s="27">
        <v>6</v>
      </c>
      <c r="H86" s="28" t="s">
        <v>33</v>
      </c>
      <c r="I86" s="29">
        <v>2905</v>
      </c>
      <c r="J86" s="30"/>
      <c r="K86" s="47" t="s">
        <v>93</v>
      </c>
      <c r="L86" s="45">
        <v>2782</v>
      </c>
      <c r="N86" s="33" t="s">
        <v>94</v>
      </c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14.25" customHeight="1" x14ac:dyDescent="0.3">
      <c r="A87" s="35">
        <v>4084</v>
      </c>
      <c r="B87" s="54">
        <v>43194</v>
      </c>
      <c r="C87" s="35"/>
      <c r="D87" s="35" t="s">
        <v>97</v>
      </c>
      <c r="E87" s="35"/>
      <c r="F87" s="35"/>
      <c r="G87" s="35">
        <v>30</v>
      </c>
      <c r="H87" s="37" t="s">
        <v>33</v>
      </c>
      <c r="I87" s="38">
        <v>2895</v>
      </c>
      <c r="J87" s="39" t="s">
        <v>85</v>
      </c>
      <c r="K87" s="40"/>
      <c r="L87" s="21" t="s">
        <v>98</v>
      </c>
      <c r="M87" s="41"/>
      <c r="N87" s="42" t="s">
        <v>99</v>
      </c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</row>
    <row r="88" spans="1:27" ht="14.25" customHeight="1" x14ac:dyDescent="0.3">
      <c r="A88" s="27">
        <v>4085</v>
      </c>
      <c r="B88" s="53">
        <v>43194</v>
      </c>
      <c r="C88" s="27"/>
      <c r="D88" s="27" t="s">
        <v>32</v>
      </c>
      <c r="E88" s="27"/>
      <c r="F88" s="27"/>
      <c r="G88" s="27">
        <v>20</v>
      </c>
      <c r="H88" s="28" t="s">
        <v>33</v>
      </c>
      <c r="I88" s="29">
        <v>2069</v>
      </c>
      <c r="J88" s="30"/>
      <c r="K88" s="28" t="s">
        <v>32</v>
      </c>
      <c r="L88" s="45">
        <v>2895</v>
      </c>
      <c r="M88" s="48" t="s">
        <v>85</v>
      </c>
      <c r="N88" s="33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14.25" customHeight="1" x14ac:dyDescent="0.3">
      <c r="A89" s="35">
        <v>4086</v>
      </c>
      <c r="B89" s="54">
        <v>43194</v>
      </c>
      <c r="C89" s="35"/>
      <c r="D89" s="35" t="s">
        <v>31</v>
      </c>
      <c r="E89" s="35"/>
      <c r="F89" s="35"/>
      <c r="G89" s="35">
        <v>25</v>
      </c>
      <c r="H89" s="37" t="s">
        <v>33</v>
      </c>
      <c r="I89" s="38">
        <v>2699</v>
      </c>
      <c r="J89" s="39"/>
      <c r="K89" s="37" t="s">
        <v>31</v>
      </c>
      <c r="L89" s="21">
        <v>2895</v>
      </c>
      <c r="M89" s="41" t="s">
        <v>85</v>
      </c>
      <c r="N89" s="42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</row>
    <row r="90" spans="1:27" ht="14.25" customHeight="1" x14ac:dyDescent="0.3">
      <c r="A90" s="27">
        <v>4087</v>
      </c>
      <c r="B90" s="53">
        <v>43194</v>
      </c>
      <c r="C90" s="27"/>
      <c r="D90" s="27" t="s">
        <v>97</v>
      </c>
      <c r="E90" s="27" t="s">
        <v>100</v>
      </c>
      <c r="F90" s="27"/>
      <c r="G90" s="27">
        <v>15</v>
      </c>
      <c r="H90" s="28" t="s">
        <v>33</v>
      </c>
      <c r="I90" s="29">
        <v>2054</v>
      </c>
      <c r="J90" s="30"/>
      <c r="K90" s="47" t="s">
        <v>101</v>
      </c>
      <c r="L90" s="45">
        <v>2895</v>
      </c>
      <c r="M90" s="48" t="s">
        <v>85</v>
      </c>
      <c r="N90" s="33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14.25" customHeight="1" x14ac:dyDescent="0.3">
      <c r="A91" s="35">
        <v>4088</v>
      </c>
      <c r="B91" s="54">
        <v>43194</v>
      </c>
      <c r="C91" s="35"/>
      <c r="D91" s="35" t="s">
        <v>97</v>
      </c>
      <c r="E91" s="35" t="s">
        <v>102</v>
      </c>
      <c r="F91" s="35"/>
      <c r="G91" s="35">
        <v>12</v>
      </c>
      <c r="H91" s="37" t="s">
        <v>33</v>
      </c>
      <c r="I91" s="38">
        <v>2028</v>
      </c>
      <c r="J91" s="39"/>
      <c r="K91" s="37" t="s">
        <v>103</v>
      </c>
      <c r="L91" s="21">
        <v>2895</v>
      </c>
      <c r="M91" s="41" t="s">
        <v>85</v>
      </c>
      <c r="N91" s="42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</row>
    <row r="92" spans="1:27" ht="14.25" customHeight="1" x14ac:dyDescent="0.3">
      <c r="A92" s="27">
        <v>4089</v>
      </c>
      <c r="B92" s="53">
        <v>43194</v>
      </c>
      <c r="C92" s="27"/>
      <c r="D92" s="27" t="s">
        <v>104</v>
      </c>
      <c r="E92" s="27"/>
      <c r="F92" s="27"/>
      <c r="G92" s="27">
        <v>23</v>
      </c>
      <c r="H92" s="28" t="s">
        <v>33</v>
      </c>
      <c r="I92" s="29">
        <v>2140</v>
      </c>
      <c r="J92" s="30"/>
      <c r="K92" s="58" t="s">
        <v>99</v>
      </c>
      <c r="L92" s="45">
        <v>2140</v>
      </c>
      <c r="M92" s="48"/>
      <c r="N92" s="33" t="s">
        <v>99</v>
      </c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14.25" customHeight="1" x14ac:dyDescent="0.3">
      <c r="A93" s="35">
        <v>4090</v>
      </c>
      <c r="B93" s="54">
        <v>43194</v>
      </c>
      <c r="C93" s="35"/>
      <c r="D93" s="35" t="s">
        <v>105</v>
      </c>
      <c r="E93" s="35"/>
      <c r="F93" s="35"/>
      <c r="G93" s="35">
        <v>45</v>
      </c>
      <c r="H93" s="37" t="s">
        <v>33</v>
      </c>
      <c r="I93" s="21">
        <v>2229</v>
      </c>
      <c r="K93" s="59" t="s">
        <v>84</v>
      </c>
      <c r="L93" s="21">
        <v>2229</v>
      </c>
      <c r="N93" s="42" t="s">
        <v>84</v>
      </c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</row>
    <row r="94" spans="1:27" ht="14.25" customHeight="1" x14ac:dyDescent="0.3">
      <c r="A94" s="27">
        <v>4091</v>
      </c>
      <c r="B94" s="53">
        <v>43194</v>
      </c>
      <c r="C94" s="27"/>
      <c r="D94" s="27" t="s">
        <v>106</v>
      </c>
      <c r="E94" s="27"/>
      <c r="F94" s="27"/>
      <c r="G94" s="27">
        <v>20</v>
      </c>
      <c r="H94" s="28" t="s">
        <v>33</v>
      </c>
      <c r="I94" s="29">
        <v>2889</v>
      </c>
      <c r="J94" s="30"/>
      <c r="K94" s="47" t="s">
        <v>106</v>
      </c>
      <c r="L94" s="45">
        <v>2895</v>
      </c>
      <c r="M94" s="48" t="s">
        <v>85</v>
      </c>
      <c r="N94" s="33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14.25" customHeight="1" x14ac:dyDescent="0.3">
      <c r="A95" s="35">
        <v>4092</v>
      </c>
      <c r="B95" s="54">
        <v>43194</v>
      </c>
      <c r="C95" s="35"/>
      <c r="D95" s="35" t="s">
        <v>97</v>
      </c>
      <c r="E95" s="35" t="s">
        <v>104</v>
      </c>
      <c r="F95" s="35"/>
      <c r="G95" s="35">
        <v>55</v>
      </c>
      <c r="H95" s="37" t="s">
        <v>33</v>
      </c>
      <c r="I95" s="38">
        <v>2140</v>
      </c>
      <c r="J95" s="39"/>
      <c r="K95" s="59" t="s">
        <v>99</v>
      </c>
      <c r="L95" s="21">
        <v>2895</v>
      </c>
      <c r="M95" s="41" t="s">
        <v>85</v>
      </c>
      <c r="N95" s="42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</row>
    <row r="96" spans="1:27" ht="14.25" customHeight="1" x14ac:dyDescent="0.3">
      <c r="A96" s="27">
        <v>4093</v>
      </c>
      <c r="B96" s="53">
        <v>43194</v>
      </c>
      <c r="C96" s="27"/>
      <c r="D96" s="27" t="s">
        <v>107</v>
      </c>
      <c r="E96" s="27"/>
      <c r="F96" s="27"/>
      <c r="G96" s="27">
        <v>15</v>
      </c>
      <c r="H96" s="28" t="s">
        <v>108</v>
      </c>
      <c r="I96" s="29">
        <v>2391</v>
      </c>
      <c r="J96" s="30"/>
      <c r="K96" s="47" t="s">
        <v>109</v>
      </c>
      <c r="L96" s="45">
        <v>2391</v>
      </c>
      <c r="M96" s="48"/>
      <c r="N96" s="33" t="s">
        <v>109</v>
      </c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14.25" customHeight="1" x14ac:dyDescent="0.3">
      <c r="A97" s="35">
        <v>4094</v>
      </c>
      <c r="B97" s="54">
        <v>43194</v>
      </c>
      <c r="C97" s="35"/>
      <c r="D97" s="35" t="s">
        <v>110</v>
      </c>
      <c r="E97" s="35"/>
      <c r="F97" s="35"/>
      <c r="G97" s="35">
        <v>6</v>
      </c>
      <c r="H97" s="37" t="s">
        <v>108</v>
      </c>
      <c r="I97" s="38">
        <v>2892</v>
      </c>
      <c r="J97" s="39" t="s">
        <v>12</v>
      </c>
      <c r="K97" s="40"/>
      <c r="L97" s="21">
        <v>2074</v>
      </c>
      <c r="M97" s="41"/>
      <c r="N97" s="42" t="s">
        <v>111</v>
      </c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</row>
    <row r="98" spans="1:27" ht="14.25" customHeight="1" x14ac:dyDescent="0.3">
      <c r="A98" s="27">
        <v>4095</v>
      </c>
      <c r="B98" s="53">
        <v>43194</v>
      </c>
      <c r="C98" s="27"/>
      <c r="D98" s="27" t="s">
        <v>110</v>
      </c>
      <c r="E98" s="27" t="s">
        <v>112</v>
      </c>
      <c r="F98" s="27"/>
      <c r="G98" s="27">
        <v>5</v>
      </c>
      <c r="H98" s="28" t="s">
        <v>108</v>
      </c>
      <c r="I98" s="29">
        <v>2882</v>
      </c>
      <c r="J98" s="30"/>
      <c r="K98" s="47" t="s">
        <v>110</v>
      </c>
      <c r="L98" s="45">
        <v>2892</v>
      </c>
      <c r="M98" s="48" t="s">
        <v>12</v>
      </c>
      <c r="N98" s="33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14.25" customHeight="1" x14ac:dyDescent="0.3">
      <c r="A99" s="35">
        <v>4096</v>
      </c>
      <c r="B99" s="60">
        <v>43194</v>
      </c>
      <c r="C99" s="35" t="s">
        <v>113</v>
      </c>
      <c r="D99" s="35"/>
      <c r="E99" s="35"/>
      <c r="F99" s="35"/>
      <c r="G99" s="35">
        <v>100</v>
      </c>
      <c r="H99" s="37" t="s">
        <v>114</v>
      </c>
      <c r="I99" s="38">
        <v>2190</v>
      </c>
      <c r="J99" s="39" t="s">
        <v>115</v>
      </c>
      <c r="K99" s="40"/>
      <c r="L99" s="21">
        <v>2190</v>
      </c>
      <c r="M99" s="41" t="s">
        <v>115</v>
      </c>
      <c r="N99" s="42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</row>
    <row r="100" spans="1:27" ht="14.25" customHeight="1" x14ac:dyDescent="0.3">
      <c r="A100" s="27">
        <v>4097</v>
      </c>
      <c r="B100" s="26">
        <v>43194</v>
      </c>
      <c r="C100" s="27" t="s">
        <v>116</v>
      </c>
      <c r="D100" s="27" t="s">
        <v>117</v>
      </c>
      <c r="E100" s="27"/>
      <c r="F100" s="27"/>
      <c r="G100" s="27">
        <v>12</v>
      </c>
      <c r="H100" s="28" t="s">
        <v>114</v>
      </c>
      <c r="I100" s="29">
        <v>2158</v>
      </c>
      <c r="J100" s="30" t="s">
        <v>85</v>
      </c>
      <c r="K100" s="47"/>
      <c r="L100" s="45">
        <v>2647</v>
      </c>
      <c r="M100" s="48" t="s">
        <v>118</v>
      </c>
      <c r="N100" s="33" t="s">
        <v>117</v>
      </c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14.25" customHeight="1" x14ac:dyDescent="0.3">
      <c r="A101" s="35">
        <v>4098</v>
      </c>
      <c r="B101" s="36">
        <v>43194</v>
      </c>
      <c r="C101" s="35" t="s">
        <v>119</v>
      </c>
      <c r="D101" s="35"/>
      <c r="E101" s="35"/>
      <c r="F101" s="35"/>
      <c r="G101" s="35">
        <v>150</v>
      </c>
      <c r="H101" s="37" t="s">
        <v>114</v>
      </c>
      <c r="I101" s="38">
        <v>2158</v>
      </c>
      <c r="J101" s="39" t="s">
        <v>85</v>
      </c>
      <c r="K101" s="40"/>
      <c r="L101" s="21">
        <v>2172</v>
      </c>
      <c r="M101" s="41" t="s">
        <v>120</v>
      </c>
      <c r="N101" s="42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</row>
    <row r="102" spans="1:27" ht="14.25" customHeight="1" x14ac:dyDescent="0.3">
      <c r="A102" s="27">
        <v>4099</v>
      </c>
      <c r="B102" s="26">
        <v>43194</v>
      </c>
      <c r="C102" s="27" t="s">
        <v>116</v>
      </c>
      <c r="D102" s="27" t="s">
        <v>121</v>
      </c>
      <c r="E102" s="27"/>
      <c r="F102" s="27"/>
      <c r="G102" s="27">
        <v>25</v>
      </c>
      <c r="H102" s="28" t="s">
        <v>114</v>
      </c>
      <c r="I102" s="29">
        <v>2126</v>
      </c>
      <c r="J102" s="30" t="s">
        <v>118</v>
      </c>
      <c r="K102" s="47" t="s">
        <v>121</v>
      </c>
      <c r="L102" s="45">
        <v>2158</v>
      </c>
      <c r="M102" s="48" t="s">
        <v>85</v>
      </c>
      <c r="N102" s="33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14.25" customHeight="1" x14ac:dyDescent="0.3">
      <c r="A103" s="35">
        <v>4100</v>
      </c>
      <c r="B103" s="36">
        <v>43194</v>
      </c>
      <c r="C103" s="35" t="s">
        <v>122</v>
      </c>
      <c r="D103" s="35"/>
      <c r="E103" s="35"/>
      <c r="F103" s="35"/>
      <c r="G103" s="35">
        <v>150</v>
      </c>
      <c r="H103" s="37" t="s">
        <v>114</v>
      </c>
      <c r="I103" s="38">
        <v>2157</v>
      </c>
      <c r="J103" s="39" t="s">
        <v>123</v>
      </c>
      <c r="K103" s="40"/>
      <c r="L103" s="21">
        <v>2157</v>
      </c>
      <c r="M103" s="41" t="s">
        <v>123</v>
      </c>
      <c r="N103" s="42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</row>
    <row r="104" spans="1:27" ht="14.25" customHeight="1" x14ac:dyDescent="0.3">
      <c r="A104" s="27">
        <v>4101</v>
      </c>
      <c r="B104" s="26">
        <v>43194</v>
      </c>
      <c r="C104" s="27" t="s">
        <v>124</v>
      </c>
      <c r="D104" s="27"/>
      <c r="E104" s="27"/>
      <c r="F104" s="27"/>
      <c r="G104" s="27">
        <v>150</v>
      </c>
      <c r="H104" s="28" t="s">
        <v>114</v>
      </c>
      <c r="I104" s="29">
        <v>2156</v>
      </c>
      <c r="J104" s="30" t="s">
        <v>125</v>
      </c>
      <c r="K104" s="47"/>
      <c r="L104" s="45">
        <v>2156</v>
      </c>
      <c r="M104" s="48" t="s">
        <v>125</v>
      </c>
      <c r="N104" s="33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14.25" customHeight="1" x14ac:dyDescent="0.3">
      <c r="A105" s="35">
        <v>4102</v>
      </c>
      <c r="B105" s="36">
        <v>43194</v>
      </c>
      <c r="C105" s="35" t="s">
        <v>126</v>
      </c>
      <c r="D105" s="35" t="s">
        <v>127</v>
      </c>
      <c r="E105" s="35" t="s">
        <v>128</v>
      </c>
      <c r="F105" s="35"/>
      <c r="G105" s="35">
        <v>50</v>
      </c>
      <c r="H105" s="37" t="s">
        <v>114</v>
      </c>
      <c r="I105" s="38">
        <v>2161</v>
      </c>
      <c r="J105" s="39" t="s">
        <v>129</v>
      </c>
      <c r="K105" s="40" t="s">
        <v>130</v>
      </c>
      <c r="L105" s="21">
        <v>2161</v>
      </c>
      <c r="M105" s="41" t="s">
        <v>129</v>
      </c>
      <c r="N105" s="42" t="s">
        <v>130</v>
      </c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</row>
    <row r="106" spans="1:27" ht="14.25" customHeight="1" x14ac:dyDescent="0.3">
      <c r="A106" s="27">
        <v>4103</v>
      </c>
      <c r="B106" s="26">
        <v>43194</v>
      </c>
      <c r="C106" s="27"/>
      <c r="D106" s="27" t="s">
        <v>131</v>
      </c>
      <c r="E106" s="27"/>
      <c r="F106" s="27"/>
      <c r="G106" s="27">
        <v>150</v>
      </c>
      <c r="H106" s="28" t="s">
        <v>114</v>
      </c>
      <c r="I106" s="29">
        <v>2169</v>
      </c>
      <c r="J106" s="30"/>
      <c r="K106" s="47" t="s">
        <v>131</v>
      </c>
      <c r="L106" s="45">
        <v>3017</v>
      </c>
      <c r="M106" s="48" t="s">
        <v>85</v>
      </c>
      <c r="N106" s="33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14.25" customHeight="1" x14ac:dyDescent="0.3">
      <c r="A107" s="35">
        <v>4104</v>
      </c>
      <c r="B107" s="36">
        <v>43194</v>
      </c>
      <c r="C107" s="35" t="s">
        <v>126</v>
      </c>
      <c r="D107" s="35"/>
      <c r="E107" s="35"/>
      <c r="F107" s="35"/>
      <c r="G107" s="35">
        <v>100</v>
      </c>
      <c r="H107" s="37" t="s">
        <v>114</v>
      </c>
      <c r="I107" s="38">
        <v>2173</v>
      </c>
      <c r="J107" s="39" t="s">
        <v>129</v>
      </c>
      <c r="K107" s="40"/>
      <c r="L107" s="21">
        <v>2173</v>
      </c>
      <c r="M107" s="41" t="s">
        <v>129</v>
      </c>
      <c r="N107" s="42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</row>
    <row r="108" spans="1:27" ht="14.25" customHeight="1" x14ac:dyDescent="0.3">
      <c r="A108" s="27">
        <v>4105</v>
      </c>
      <c r="B108" s="26">
        <v>43194</v>
      </c>
      <c r="C108" s="27"/>
      <c r="D108" s="27" t="s">
        <v>29</v>
      </c>
      <c r="E108" s="27"/>
      <c r="F108" s="27"/>
      <c r="G108" s="27">
        <v>8</v>
      </c>
      <c r="H108" s="28" t="s">
        <v>33</v>
      </c>
      <c r="I108" s="29">
        <v>2895</v>
      </c>
      <c r="J108" s="30" t="s">
        <v>85</v>
      </c>
      <c r="K108" s="47"/>
      <c r="L108" s="45">
        <v>2874</v>
      </c>
      <c r="M108" s="27" t="s">
        <v>29</v>
      </c>
      <c r="N108" s="33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14.25" customHeight="1" x14ac:dyDescent="0.3">
      <c r="A109" s="35">
        <v>4106</v>
      </c>
      <c r="B109" s="36">
        <v>43194</v>
      </c>
      <c r="C109" s="35" t="s">
        <v>132</v>
      </c>
      <c r="D109" s="35"/>
      <c r="E109" s="35"/>
      <c r="F109" s="35"/>
      <c r="G109" s="35">
        <v>150</v>
      </c>
      <c r="H109" s="37" t="s">
        <v>114</v>
      </c>
      <c r="I109" s="38">
        <v>2292</v>
      </c>
      <c r="J109" s="39" t="s">
        <v>133</v>
      </c>
      <c r="K109" s="40"/>
      <c r="L109" s="21">
        <v>2158</v>
      </c>
      <c r="M109" s="41" t="s">
        <v>85</v>
      </c>
      <c r="N109" s="42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</row>
    <row r="110" spans="1:27" ht="14.25" customHeight="1" x14ac:dyDescent="0.3">
      <c r="A110" s="27">
        <v>4107</v>
      </c>
      <c r="B110" s="26">
        <v>43194</v>
      </c>
      <c r="C110" s="27" t="s">
        <v>85</v>
      </c>
      <c r="D110" s="27"/>
      <c r="E110" s="27"/>
      <c r="F110" s="27"/>
      <c r="G110" s="27">
        <v>75</v>
      </c>
      <c r="H110" s="28" t="s">
        <v>114</v>
      </c>
      <c r="I110" s="29">
        <v>2966</v>
      </c>
      <c r="J110" s="30" t="s">
        <v>85</v>
      </c>
      <c r="K110" s="47"/>
      <c r="L110" s="45">
        <v>2966</v>
      </c>
      <c r="M110" s="48" t="s">
        <v>85</v>
      </c>
      <c r="N110" s="33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14.25" customHeight="1" x14ac:dyDescent="0.3">
      <c r="A111" s="35">
        <v>4108</v>
      </c>
      <c r="B111" s="36">
        <v>43194</v>
      </c>
      <c r="C111" s="35" t="s">
        <v>116</v>
      </c>
      <c r="D111" s="35" t="s">
        <v>134</v>
      </c>
      <c r="E111" s="35"/>
      <c r="F111" s="35"/>
      <c r="G111" s="35">
        <v>50</v>
      </c>
      <c r="H111" s="37" t="s">
        <v>114</v>
      </c>
      <c r="I111" s="38">
        <v>2498</v>
      </c>
      <c r="J111" s="39" t="s">
        <v>118</v>
      </c>
      <c r="K111" s="40" t="s">
        <v>134</v>
      </c>
      <c r="L111" s="21">
        <v>2158</v>
      </c>
      <c r="M111" s="41" t="s">
        <v>85</v>
      </c>
      <c r="N111" s="42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</row>
    <row r="112" spans="1:27" ht="14.25" customHeight="1" x14ac:dyDescent="0.3">
      <c r="A112" s="27">
        <v>4109</v>
      </c>
      <c r="B112" s="26">
        <v>43194</v>
      </c>
      <c r="C112" s="27"/>
      <c r="D112" s="27" t="s">
        <v>128</v>
      </c>
      <c r="E112" s="27"/>
      <c r="F112" s="27"/>
      <c r="G112" s="27">
        <v>20</v>
      </c>
      <c r="H112" s="28" t="s">
        <v>114</v>
      </c>
      <c r="I112" s="29">
        <v>2587</v>
      </c>
      <c r="J112" s="30"/>
      <c r="K112" s="47" t="s">
        <v>128</v>
      </c>
      <c r="L112" s="45">
        <v>2587</v>
      </c>
      <c r="M112" s="48" t="s">
        <v>128</v>
      </c>
      <c r="N112" s="33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14.25" customHeight="1" x14ac:dyDescent="0.3">
      <c r="A113" s="35">
        <v>4110</v>
      </c>
      <c r="B113" s="36">
        <v>43194</v>
      </c>
      <c r="C113" s="35"/>
      <c r="D113" s="35" t="s">
        <v>135</v>
      </c>
      <c r="E113" s="35"/>
      <c r="F113" s="35"/>
      <c r="G113" s="35">
        <v>20</v>
      </c>
      <c r="H113" s="37" t="s">
        <v>114</v>
      </c>
      <c r="I113" s="38">
        <v>2152</v>
      </c>
      <c r="J113" s="39"/>
      <c r="K113" s="40" t="s">
        <v>135</v>
      </c>
      <c r="L113" s="21">
        <v>2152</v>
      </c>
      <c r="M113" s="41" t="s">
        <v>135</v>
      </c>
      <c r="N113" s="42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</row>
    <row r="114" spans="1:27" ht="14.25" customHeight="1" x14ac:dyDescent="0.3">
      <c r="A114" s="27">
        <v>4111</v>
      </c>
      <c r="B114" s="26">
        <v>43194</v>
      </c>
      <c r="C114" s="27"/>
      <c r="D114" s="27" t="s">
        <v>136</v>
      </c>
      <c r="E114" s="27"/>
      <c r="F114" s="27"/>
      <c r="G114" s="27">
        <v>150</v>
      </c>
      <c r="H114" s="28" t="s">
        <v>114</v>
      </c>
      <c r="I114" s="29">
        <v>2747</v>
      </c>
      <c r="J114" s="30"/>
      <c r="K114" s="47" t="s">
        <v>136</v>
      </c>
      <c r="L114" s="45">
        <v>3017</v>
      </c>
      <c r="M114" s="48" t="s">
        <v>85</v>
      </c>
      <c r="N114" s="33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14.25" customHeight="1" x14ac:dyDescent="0.3">
      <c r="A115" s="35">
        <v>4112</v>
      </c>
      <c r="B115" s="36">
        <v>43194</v>
      </c>
      <c r="C115" s="35"/>
      <c r="D115" s="35" t="s">
        <v>127</v>
      </c>
      <c r="E115" s="35"/>
      <c r="F115" s="35"/>
      <c r="G115" s="35">
        <v>300</v>
      </c>
      <c r="H115" s="37" t="s">
        <v>137</v>
      </c>
      <c r="I115" s="38">
        <v>3017</v>
      </c>
      <c r="J115" s="39" t="s">
        <v>85</v>
      </c>
      <c r="K115" s="40"/>
      <c r="L115" s="21">
        <v>2261</v>
      </c>
      <c r="N115" s="40" t="s">
        <v>127</v>
      </c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</row>
    <row r="116" spans="1:27" ht="14.25" customHeight="1" x14ac:dyDescent="0.3">
      <c r="A116" s="27">
        <v>4113</v>
      </c>
      <c r="B116" s="26">
        <v>43194</v>
      </c>
      <c r="C116" s="27"/>
      <c r="D116" s="27" t="s">
        <v>127</v>
      </c>
      <c r="E116" s="27"/>
      <c r="F116" s="27"/>
      <c r="G116" s="27">
        <v>150</v>
      </c>
      <c r="H116" s="28" t="s">
        <v>114</v>
      </c>
      <c r="I116" s="29">
        <v>2261</v>
      </c>
      <c r="J116" s="30"/>
      <c r="K116" s="47" t="s">
        <v>127</v>
      </c>
      <c r="L116" s="45">
        <v>3017</v>
      </c>
      <c r="M116" s="48" t="s">
        <v>85</v>
      </c>
      <c r="N116" s="33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14.25" customHeight="1" x14ac:dyDescent="0.3">
      <c r="A117" s="35">
        <v>4114</v>
      </c>
      <c r="B117" s="36">
        <v>43194</v>
      </c>
      <c r="C117" s="35" t="s">
        <v>138</v>
      </c>
      <c r="D117" s="35" t="s">
        <v>139</v>
      </c>
      <c r="E117" s="35"/>
      <c r="F117" s="35"/>
      <c r="G117" s="35">
        <v>30</v>
      </c>
      <c r="H117" s="37" t="s">
        <v>140</v>
      </c>
      <c r="I117" s="38">
        <v>2476</v>
      </c>
      <c r="J117" s="39" t="s">
        <v>141</v>
      </c>
      <c r="K117" s="40" t="s">
        <v>139</v>
      </c>
      <c r="L117" s="21">
        <v>2476</v>
      </c>
      <c r="M117" s="41" t="s">
        <v>142</v>
      </c>
      <c r="N117" s="42" t="s">
        <v>139</v>
      </c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</row>
    <row r="118" spans="1:27" ht="14.25" customHeight="1" x14ac:dyDescent="0.3">
      <c r="A118" s="27">
        <v>4115</v>
      </c>
      <c r="B118" s="26">
        <v>43194</v>
      </c>
      <c r="C118" s="27" t="s">
        <v>143</v>
      </c>
      <c r="D118" s="27"/>
      <c r="E118" s="27"/>
      <c r="F118" s="27"/>
      <c r="G118" s="27">
        <v>22</v>
      </c>
      <c r="H118" s="28" t="s">
        <v>140</v>
      </c>
      <c r="I118" s="29">
        <v>2788</v>
      </c>
      <c r="J118" s="30" t="s">
        <v>144</v>
      </c>
      <c r="K118" s="47" t="s">
        <v>145</v>
      </c>
      <c r="L118" s="45">
        <v>2788</v>
      </c>
      <c r="M118" s="48" t="s">
        <v>146</v>
      </c>
      <c r="N118" s="33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14.25" customHeight="1" x14ac:dyDescent="0.3">
      <c r="A119" s="35">
        <v>4116</v>
      </c>
      <c r="B119" s="36">
        <v>43194</v>
      </c>
      <c r="C119" s="35"/>
      <c r="D119" s="35" t="s">
        <v>127</v>
      </c>
      <c r="E119" s="35"/>
      <c r="F119" s="35"/>
      <c r="G119" s="35">
        <v>40</v>
      </c>
      <c r="H119" s="37" t="s">
        <v>140</v>
      </c>
      <c r="I119" s="38">
        <v>2671</v>
      </c>
      <c r="J119" s="39"/>
      <c r="K119" s="40" t="s">
        <v>127</v>
      </c>
      <c r="L119" s="21">
        <v>2911</v>
      </c>
      <c r="M119" s="41" t="s">
        <v>85</v>
      </c>
      <c r="N119" s="42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</row>
    <row r="120" spans="1:27" ht="14.25" customHeight="1" x14ac:dyDescent="0.3">
      <c r="A120" s="27">
        <v>4117</v>
      </c>
      <c r="B120" s="26">
        <v>43194</v>
      </c>
      <c r="C120" s="27"/>
      <c r="D120" s="27" t="s">
        <v>145</v>
      </c>
      <c r="E120" s="27"/>
      <c r="F120" s="27"/>
      <c r="G120" s="27">
        <v>80</v>
      </c>
      <c r="H120" s="28" t="s">
        <v>140</v>
      </c>
      <c r="I120" s="29">
        <v>2497</v>
      </c>
      <c r="J120" s="30"/>
      <c r="K120" s="47" t="s">
        <v>145</v>
      </c>
      <c r="L120" s="45">
        <v>2995</v>
      </c>
      <c r="M120" s="48" t="s">
        <v>85</v>
      </c>
      <c r="N120" s="33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14.25" customHeight="1" x14ac:dyDescent="0.3">
      <c r="A121" s="35">
        <v>4118</v>
      </c>
      <c r="B121" s="36">
        <v>43194</v>
      </c>
      <c r="C121" s="35" t="s">
        <v>143</v>
      </c>
      <c r="D121" s="35" t="s">
        <v>145</v>
      </c>
      <c r="E121" s="35"/>
      <c r="F121" s="35"/>
      <c r="G121" s="35">
        <v>40</v>
      </c>
      <c r="H121" s="37" t="s">
        <v>140</v>
      </c>
      <c r="I121" s="38">
        <v>2183</v>
      </c>
      <c r="J121" s="39" t="s">
        <v>144</v>
      </c>
      <c r="K121" s="40"/>
      <c r="L121" s="21">
        <v>2182</v>
      </c>
      <c r="M121" s="41" t="s">
        <v>146</v>
      </c>
      <c r="N121" s="42" t="s">
        <v>145</v>
      </c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</row>
    <row r="122" spans="1:27" ht="14.25" customHeight="1" x14ac:dyDescent="0.3">
      <c r="A122" s="27">
        <v>4119</v>
      </c>
      <c r="B122" s="26">
        <v>43194</v>
      </c>
      <c r="C122" s="27" t="s">
        <v>147</v>
      </c>
      <c r="D122" s="27" t="s">
        <v>148</v>
      </c>
      <c r="E122" s="27"/>
      <c r="F122" s="27"/>
      <c r="G122" s="27">
        <v>80</v>
      </c>
      <c r="H122" s="28" t="s">
        <v>140</v>
      </c>
      <c r="I122" s="29">
        <v>2211</v>
      </c>
      <c r="J122" s="30" t="s">
        <v>149</v>
      </c>
      <c r="K122" s="47" t="s">
        <v>148</v>
      </c>
      <c r="L122" s="29">
        <v>2211</v>
      </c>
      <c r="M122" s="30" t="s">
        <v>150</v>
      </c>
      <c r="N122" s="47" t="s">
        <v>148</v>
      </c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14.25" customHeight="1" x14ac:dyDescent="0.3">
      <c r="A123" s="35">
        <v>4120</v>
      </c>
      <c r="B123" s="36">
        <v>43194</v>
      </c>
      <c r="C123" s="35" t="s">
        <v>151</v>
      </c>
      <c r="D123" s="35" t="s">
        <v>127</v>
      </c>
      <c r="E123" s="35"/>
      <c r="F123" s="35"/>
      <c r="G123" s="35">
        <v>100</v>
      </c>
      <c r="H123" s="37" t="s">
        <v>140</v>
      </c>
      <c r="I123" s="38">
        <v>2780</v>
      </c>
      <c r="J123" s="39" t="s">
        <v>151</v>
      </c>
      <c r="K123" s="40" t="s">
        <v>127</v>
      </c>
      <c r="L123" s="61">
        <v>2780</v>
      </c>
      <c r="M123" s="62" t="s">
        <v>151</v>
      </c>
      <c r="N123" s="63" t="s">
        <v>127</v>
      </c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</row>
    <row r="124" spans="1:27" ht="14.25" customHeight="1" x14ac:dyDescent="0.3">
      <c r="A124" s="27">
        <v>4121</v>
      </c>
      <c r="B124" s="26">
        <v>43194</v>
      </c>
      <c r="C124" s="27" t="s">
        <v>143</v>
      </c>
      <c r="D124" s="27"/>
      <c r="E124" s="27"/>
      <c r="F124" s="27"/>
      <c r="G124" s="27">
        <v>95</v>
      </c>
      <c r="H124" s="28" t="s">
        <v>140</v>
      </c>
      <c r="I124" s="29">
        <v>2182</v>
      </c>
      <c r="J124" s="30" t="s">
        <v>144</v>
      </c>
      <c r="K124" s="47" t="s">
        <v>145</v>
      </c>
      <c r="L124" s="45">
        <v>2183</v>
      </c>
      <c r="M124" s="48" t="s">
        <v>146</v>
      </c>
      <c r="N124" s="33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14.25" customHeight="1" x14ac:dyDescent="0.3">
      <c r="A125" s="35">
        <v>4122</v>
      </c>
      <c r="B125" s="36">
        <v>43194</v>
      </c>
      <c r="C125" s="35" t="s">
        <v>85</v>
      </c>
      <c r="D125" s="35"/>
      <c r="E125" s="35"/>
      <c r="F125" s="35"/>
      <c r="G125" s="35">
        <v>90</v>
      </c>
      <c r="H125" s="37" t="s">
        <v>140</v>
      </c>
      <c r="I125" s="38"/>
      <c r="J125" s="39"/>
      <c r="K125" s="40" t="s">
        <v>152</v>
      </c>
      <c r="L125" s="21"/>
      <c r="M125" s="41"/>
      <c r="N125" s="42" t="s">
        <v>152</v>
      </c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</row>
    <row r="126" spans="1:27" ht="14.25" customHeight="1" x14ac:dyDescent="0.3">
      <c r="A126" s="27">
        <v>4123</v>
      </c>
      <c r="B126" s="26">
        <v>43194</v>
      </c>
      <c r="C126" s="27"/>
      <c r="D126" s="27" t="s">
        <v>139</v>
      </c>
      <c r="E126" s="27"/>
      <c r="F126" s="27"/>
      <c r="G126" s="27">
        <v>85</v>
      </c>
      <c r="H126" s="28" t="s">
        <v>140</v>
      </c>
      <c r="I126" s="29">
        <v>2995</v>
      </c>
      <c r="J126" s="30" t="s">
        <v>85</v>
      </c>
      <c r="K126" s="47"/>
      <c r="L126" s="45">
        <v>2730</v>
      </c>
      <c r="N126" s="47" t="s">
        <v>139</v>
      </c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14.25" customHeight="1" x14ac:dyDescent="0.3">
      <c r="A127" s="35">
        <v>4124</v>
      </c>
      <c r="B127" s="36">
        <v>43194</v>
      </c>
      <c r="C127" s="35"/>
      <c r="D127" s="35" t="s">
        <v>127</v>
      </c>
      <c r="E127" s="35"/>
      <c r="F127" s="35"/>
      <c r="G127" s="35">
        <v>45</v>
      </c>
      <c r="H127" s="37" t="s">
        <v>140</v>
      </c>
      <c r="I127" s="38">
        <v>2671</v>
      </c>
      <c r="J127" s="39"/>
      <c r="K127" s="40" t="s">
        <v>127</v>
      </c>
      <c r="L127" s="21">
        <v>2911</v>
      </c>
      <c r="M127" s="41" t="s">
        <v>85</v>
      </c>
      <c r="N127" s="42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</row>
    <row r="128" spans="1:27" ht="14.25" customHeight="1" x14ac:dyDescent="0.3">
      <c r="A128" s="27">
        <v>4125</v>
      </c>
      <c r="B128" s="26">
        <v>43194</v>
      </c>
      <c r="C128" s="27" t="s">
        <v>153</v>
      </c>
      <c r="D128" s="27" t="s">
        <v>127</v>
      </c>
      <c r="E128" s="27"/>
      <c r="F128" s="27"/>
      <c r="G128" s="27">
        <v>80</v>
      </c>
      <c r="H128" s="28" t="s">
        <v>140</v>
      </c>
      <c r="I128" s="29">
        <v>2788</v>
      </c>
      <c r="J128" s="30" t="s">
        <v>144</v>
      </c>
      <c r="K128" s="47" t="s">
        <v>127</v>
      </c>
      <c r="L128" s="29">
        <v>2788</v>
      </c>
      <c r="M128" s="30" t="s">
        <v>144</v>
      </c>
      <c r="N128" s="47" t="s">
        <v>127</v>
      </c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14.25" customHeight="1" x14ac:dyDescent="0.3">
      <c r="A129" s="35">
        <v>4126</v>
      </c>
      <c r="B129" s="36">
        <v>43194</v>
      </c>
      <c r="C129" s="35"/>
      <c r="D129" s="35" t="s">
        <v>127</v>
      </c>
      <c r="E129" s="35"/>
      <c r="F129" s="35"/>
      <c r="G129" s="35">
        <v>50</v>
      </c>
      <c r="H129" s="37" t="s">
        <v>140</v>
      </c>
      <c r="I129" s="38">
        <v>2911</v>
      </c>
      <c r="J129" s="39" t="s">
        <v>85</v>
      </c>
      <c r="K129" s="40"/>
      <c r="L129" s="21">
        <v>2307</v>
      </c>
      <c r="M129" s="41"/>
      <c r="N129" s="42" t="s">
        <v>127</v>
      </c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</row>
    <row r="130" spans="1:27" ht="14.25" customHeight="1" x14ac:dyDescent="0.3">
      <c r="A130" s="27">
        <v>4127</v>
      </c>
      <c r="B130" s="26">
        <v>43194</v>
      </c>
      <c r="C130" s="27"/>
      <c r="D130" s="27" t="s">
        <v>154</v>
      </c>
      <c r="E130" s="27"/>
      <c r="F130" s="27"/>
      <c r="G130" s="27">
        <v>23</v>
      </c>
      <c r="H130" s="28" t="s">
        <v>140</v>
      </c>
      <c r="I130" s="29">
        <v>2684</v>
      </c>
      <c r="J130" s="30"/>
      <c r="K130" s="47" t="s">
        <v>154</v>
      </c>
      <c r="L130" s="45">
        <v>2995</v>
      </c>
      <c r="M130" s="48" t="s">
        <v>85</v>
      </c>
      <c r="N130" s="33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14.25" customHeight="1" x14ac:dyDescent="0.3">
      <c r="A131" s="35">
        <v>4128</v>
      </c>
      <c r="B131" s="36">
        <v>43194</v>
      </c>
      <c r="C131" s="35"/>
      <c r="D131" s="35" t="s">
        <v>127</v>
      </c>
      <c r="E131" s="35"/>
      <c r="F131" s="35"/>
      <c r="G131" s="35">
        <v>75</v>
      </c>
      <c r="H131" s="37" t="s">
        <v>140</v>
      </c>
      <c r="I131" s="38">
        <v>2307</v>
      </c>
      <c r="J131" s="39"/>
      <c r="K131" s="40" t="s">
        <v>127</v>
      </c>
      <c r="L131" s="21">
        <v>2911</v>
      </c>
      <c r="M131" s="41" t="s">
        <v>85</v>
      </c>
      <c r="N131" s="42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</row>
    <row r="132" spans="1:27" ht="14.25" customHeight="1" x14ac:dyDescent="0.3">
      <c r="A132" s="27">
        <v>4129</v>
      </c>
      <c r="B132" s="26">
        <v>43194</v>
      </c>
      <c r="C132" s="27" t="s">
        <v>85</v>
      </c>
      <c r="D132" s="27"/>
      <c r="E132" s="27"/>
      <c r="F132" s="27"/>
      <c r="G132" s="27">
        <v>65</v>
      </c>
      <c r="H132" s="28" t="s">
        <v>140</v>
      </c>
      <c r="I132" s="29">
        <v>3044</v>
      </c>
      <c r="J132" s="30" t="s">
        <v>85</v>
      </c>
      <c r="K132" s="47"/>
      <c r="L132" s="45">
        <v>3044</v>
      </c>
      <c r="M132" s="48" t="s">
        <v>85</v>
      </c>
      <c r="N132" s="33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14.25" customHeight="1" x14ac:dyDescent="0.3">
      <c r="A133" s="35">
        <v>4130</v>
      </c>
      <c r="B133" s="36">
        <v>43194</v>
      </c>
      <c r="C133" s="35"/>
      <c r="D133" s="35" t="s">
        <v>145</v>
      </c>
      <c r="E133" s="35"/>
      <c r="F133" s="35"/>
      <c r="G133" s="35">
        <v>80</v>
      </c>
      <c r="H133" s="37" t="s">
        <v>140</v>
      </c>
      <c r="I133" s="38">
        <v>2911</v>
      </c>
      <c r="J133" s="39" t="s">
        <v>85</v>
      </c>
      <c r="K133" s="40"/>
      <c r="L133" s="21">
        <v>2497</v>
      </c>
      <c r="M133" s="41"/>
      <c r="N133" s="42" t="s">
        <v>145</v>
      </c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</row>
    <row r="134" spans="1:27" ht="14.25" customHeight="1" x14ac:dyDescent="0.3">
      <c r="A134" s="27">
        <v>4131</v>
      </c>
      <c r="B134" s="26">
        <v>43194</v>
      </c>
      <c r="C134" s="27"/>
      <c r="D134" s="27" t="s">
        <v>148</v>
      </c>
      <c r="E134" s="27"/>
      <c r="F134" s="27"/>
      <c r="G134" s="27">
        <v>90</v>
      </c>
      <c r="H134" s="28" t="s">
        <v>140</v>
      </c>
      <c r="I134" s="29">
        <v>2681</v>
      </c>
      <c r="J134" s="30"/>
      <c r="K134" s="47" t="s">
        <v>148</v>
      </c>
      <c r="L134" s="45">
        <v>2912</v>
      </c>
      <c r="M134" s="48" t="s">
        <v>85</v>
      </c>
      <c r="N134" s="33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14.25" customHeight="1" x14ac:dyDescent="0.3">
      <c r="A135" s="35">
        <v>4132</v>
      </c>
      <c r="B135" s="36">
        <v>43194</v>
      </c>
      <c r="C135" s="35" t="s">
        <v>85</v>
      </c>
      <c r="D135" s="35"/>
      <c r="E135" s="35"/>
      <c r="F135" s="35"/>
      <c r="G135" s="35">
        <v>95</v>
      </c>
      <c r="H135" s="37" t="s">
        <v>140</v>
      </c>
      <c r="I135" s="38"/>
      <c r="J135" s="39" t="s">
        <v>152</v>
      </c>
      <c r="K135" s="40"/>
      <c r="L135" s="21"/>
      <c r="M135" s="41" t="s">
        <v>152</v>
      </c>
      <c r="N135" s="42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</row>
    <row r="136" spans="1:27" ht="14.25" customHeight="1" x14ac:dyDescent="0.3">
      <c r="A136" s="27">
        <v>4133</v>
      </c>
      <c r="B136" s="26">
        <v>43194</v>
      </c>
      <c r="C136" s="27" t="s">
        <v>153</v>
      </c>
      <c r="D136" s="27"/>
      <c r="E136" s="27"/>
      <c r="F136" s="27"/>
      <c r="G136" s="27">
        <v>45</v>
      </c>
      <c r="H136" s="28" t="s">
        <v>140</v>
      </c>
      <c r="I136" s="29">
        <v>2294</v>
      </c>
      <c r="J136" s="30" t="s">
        <v>144</v>
      </c>
      <c r="K136" s="47"/>
      <c r="L136" s="45">
        <v>2294</v>
      </c>
      <c r="M136" s="48" t="s">
        <v>144</v>
      </c>
      <c r="N136" s="33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14.25" customHeight="1" x14ac:dyDescent="0.3">
      <c r="A137" s="35">
        <v>4134</v>
      </c>
      <c r="B137" s="36">
        <v>43194</v>
      </c>
      <c r="C137" s="35" t="s">
        <v>155</v>
      </c>
      <c r="D137" s="35" t="s">
        <v>127</v>
      </c>
      <c r="E137" s="35"/>
      <c r="F137" s="35"/>
      <c r="G137" s="35">
        <v>100</v>
      </c>
      <c r="H137" s="37" t="s">
        <v>140</v>
      </c>
      <c r="I137" s="61">
        <v>2780</v>
      </c>
      <c r="J137" s="62" t="s">
        <v>151</v>
      </c>
      <c r="K137" s="63" t="s">
        <v>127</v>
      </c>
      <c r="L137" s="61">
        <v>2780</v>
      </c>
      <c r="M137" s="62" t="s">
        <v>151</v>
      </c>
      <c r="N137" s="63" t="s">
        <v>127</v>
      </c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</row>
    <row r="138" spans="1:27" ht="14.25" customHeight="1" x14ac:dyDescent="0.3">
      <c r="A138" s="27">
        <v>4135</v>
      </c>
      <c r="B138" s="26">
        <v>43194</v>
      </c>
      <c r="C138" s="27"/>
      <c r="D138" s="27" t="s">
        <v>156</v>
      </c>
      <c r="E138" s="27"/>
      <c r="F138" s="27"/>
      <c r="G138" s="27">
        <v>15</v>
      </c>
      <c r="H138" s="28" t="s">
        <v>140</v>
      </c>
      <c r="I138" s="29">
        <v>2234</v>
      </c>
      <c r="J138" s="30"/>
      <c r="K138" s="47" t="s">
        <v>156</v>
      </c>
      <c r="L138" s="45">
        <v>2912</v>
      </c>
      <c r="M138" s="48" t="s">
        <v>85</v>
      </c>
      <c r="N138" s="33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14.25" customHeight="1" x14ac:dyDescent="0.3">
      <c r="A139" s="35">
        <v>4136</v>
      </c>
      <c r="B139" s="36">
        <v>43194</v>
      </c>
      <c r="C139" s="35"/>
      <c r="D139" s="35" t="s">
        <v>157</v>
      </c>
      <c r="E139" s="35"/>
      <c r="F139" s="35"/>
      <c r="G139" s="35">
        <v>41</v>
      </c>
      <c r="H139" s="37" t="s">
        <v>140</v>
      </c>
      <c r="I139" s="38">
        <v>2912</v>
      </c>
      <c r="J139" s="39" t="s">
        <v>85</v>
      </c>
      <c r="K139" s="40"/>
      <c r="L139" s="21">
        <v>2126</v>
      </c>
      <c r="M139" s="41"/>
      <c r="N139" s="42" t="s">
        <v>157</v>
      </c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</row>
    <row r="140" spans="1:27" ht="14.25" customHeight="1" x14ac:dyDescent="0.3">
      <c r="A140" s="27">
        <v>4137</v>
      </c>
      <c r="B140" s="26">
        <v>43194</v>
      </c>
      <c r="C140" s="27" t="s">
        <v>155</v>
      </c>
      <c r="D140" s="27"/>
      <c r="E140" s="27"/>
      <c r="F140" s="27"/>
      <c r="G140" s="27">
        <v>90</v>
      </c>
      <c r="H140" s="28" t="s">
        <v>140</v>
      </c>
      <c r="I140" s="29">
        <v>2781</v>
      </c>
      <c r="J140" s="30" t="s">
        <v>151</v>
      </c>
      <c r="K140" s="47"/>
      <c r="L140" s="45">
        <v>2781</v>
      </c>
      <c r="M140" s="48" t="s">
        <v>158</v>
      </c>
      <c r="N140" s="33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14.25" customHeight="1" x14ac:dyDescent="0.3">
      <c r="A141" s="35">
        <v>4138</v>
      </c>
      <c r="B141" s="36">
        <v>43194</v>
      </c>
      <c r="C141" s="35" t="s">
        <v>155</v>
      </c>
      <c r="D141" s="35" t="s">
        <v>127</v>
      </c>
      <c r="E141" s="35"/>
      <c r="F141" s="35"/>
      <c r="G141" s="35">
        <v>100</v>
      </c>
      <c r="H141" s="37" t="s">
        <v>140</v>
      </c>
      <c r="I141" s="38">
        <v>2780</v>
      </c>
      <c r="J141" s="39" t="s">
        <v>151</v>
      </c>
      <c r="K141" s="40" t="s">
        <v>127</v>
      </c>
      <c r="L141" s="21">
        <v>2780</v>
      </c>
      <c r="M141" s="41" t="s">
        <v>158</v>
      </c>
      <c r="N141" s="42" t="s">
        <v>127</v>
      </c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</row>
    <row r="142" spans="1:27" ht="14.25" customHeight="1" x14ac:dyDescent="0.3">
      <c r="A142" s="27">
        <v>4139</v>
      </c>
      <c r="B142" s="26">
        <v>43194</v>
      </c>
      <c r="C142" s="27"/>
      <c r="D142" s="27" t="s">
        <v>70</v>
      </c>
      <c r="E142" s="27"/>
      <c r="F142" s="27"/>
      <c r="G142" s="27">
        <v>40</v>
      </c>
      <c r="H142" s="28" t="s">
        <v>50</v>
      </c>
      <c r="I142" s="29">
        <v>2859</v>
      </c>
      <c r="J142" s="30" t="s">
        <v>12</v>
      </c>
      <c r="K142" s="47"/>
      <c r="L142" s="45">
        <v>2221</v>
      </c>
      <c r="M142" s="48"/>
      <c r="N142" s="33" t="s">
        <v>70</v>
      </c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14.25" customHeight="1" x14ac:dyDescent="0.3">
      <c r="A143" s="35">
        <v>4140</v>
      </c>
      <c r="B143" s="36">
        <v>43201</v>
      </c>
      <c r="C143" s="35" t="s">
        <v>12</v>
      </c>
      <c r="D143" s="35"/>
      <c r="E143" s="35"/>
      <c r="F143" s="35"/>
      <c r="G143" s="35">
        <v>100</v>
      </c>
      <c r="H143" s="37" t="s">
        <v>39</v>
      </c>
      <c r="I143" s="38">
        <v>2903</v>
      </c>
      <c r="J143" s="39" t="s">
        <v>12</v>
      </c>
      <c r="K143" s="40"/>
      <c r="L143" s="21">
        <v>2903</v>
      </c>
      <c r="M143" s="41" t="s">
        <v>12</v>
      </c>
      <c r="N143" s="42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</row>
    <row r="144" spans="1:27" ht="14.25" customHeight="1" x14ac:dyDescent="0.3">
      <c r="A144" s="27">
        <v>4141</v>
      </c>
      <c r="B144" s="26">
        <v>43201</v>
      </c>
      <c r="C144" s="27" t="s">
        <v>12</v>
      </c>
      <c r="D144" s="27"/>
      <c r="E144" s="27"/>
      <c r="F144" s="27"/>
      <c r="G144" s="27">
        <v>75</v>
      </c>
      <c r="H144" s="28" t="s">
        <v>39</v>
      </c>
      <c r="I144" s="29">
        <v>2903</v>
      </c>
      <c r="J144" s="30" t="s">
        <v>12</v>
      </c>
      <c r="K144" s="47"/>
      <c r="L144" s="45">
        <v>2903</v>
      </c>
      <c r="M144" s="48" t="s">
        <v>12</v>
      </c>
      <c r="N144" s="33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14.25" customHeight="1" x14ac:dyDescent="0.3">
      <c r="A145" s="35">
        <v>4142</v>
      </c>
      <c r="B145" s="36">
        <v>43201</v>
      </c>
      <c r="C145" s="35" t="s">
        <v>159</v>
      </c>
      <c r="D145" s="35"/>
      <c r="E145" s="35"/>
      <c r="F145" s="35"/>
      <c r="G145" s="35">
        <v>50</v>
      </c>
      <c r="H145" s="37" t="s">
        <v>39</v>
      </c>
      <c r="I145" s="38">
        <v>3071</v>
      </c>
      <c r="J145" s="39" t="s">
        <v>52</v>
      </c>
      <c r="K145" s="40"/>
      <c r="L145" s="21">
        <v>3071</v>
      </c>
      <c r="M145" s="41" t="s">
        <v>52</v>
      </c>
      <c r="N145" s="42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</row>
    <row r="146" spans="1:27" ht="14.25" customHeight="1" x14ac:dyDescent="0.3">
      <c r="A146" s="27">
        <v>4143</v>
      </c>
      <c r="B146" s="26">
        <v>43201</v>
      </c>
      <c r="C146" s="27" t="s">
        <v>12</v>
      </c>
      <c r="D146" s="27"/>
      <c r="E146" s="27"/>
      <c r="F146" s="27"/>
      <c r="G146" s="27">
        <v>75</v>
      </c>
      <c r="H146" s="28" t="s">
        <v>39</v>
      </c>
      <c r="I146" s="29">
        <v>3046</v>
      </c>
      <c r="J146" s="30" t="s">
        <v>12</v>
      </c>
      <c r="K146" s="47"/>
      <c r="L146" s="45">
        <v>3046</v>
      </c>
      <c r="M146" s="48" t="s">
        <v>12</v>
      </c>
      <c r="N146" s="33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14.25" customHeight="1" x14ac:dyDescent="0.3">
      <c r="A147" s="35">
        <v>4144</v>
      </c>
      <c r="B147" s="36">
        <v>43201</v>
      </c>
      <c r="C147" s="35" t="s">
        <v>12</v>
      </c>
      <c r="D147" s="35"/>
      <c r="E147" s="35"/>
      <c r="F147" s="35"/>
      <c r="G147" s="35">
        <v>75</v>
      </c>
      <c r="H147" s="37" t="s">
        <v>39</v>
      </c>
      <c r="I147" s="38">
        <v>3046</v>
      </c>
      <c r="J147" s="39" t="s">
        <v>12</v>
      </c>
      <c r="K147" s="40"/>
      <c r="L147" s="21">
        <v>3046</v>
      </c>
      <c r="M147" s="41" t="s">
        <v>12</v>
      </c>
      <c r="N147" s="42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</row>
    <row r="148" spans="1:27" ht="14.25" customHeight="1" x14ac:dyDescent="0.3">
      <c r="A148" s="25">
        <v>4145</v>
      </c>
      <c r="B148" s="26">
        <v>43201</v>
      </c>
      <c r="C148" s="27" t="s">
        <v>160</v>
      </c>
      <c r="D148" s="27"/>
      <c r="E148" s="27"/>
      <c r="F148" s="27"/>
      <c r="G148" s="27">
        <v>12</v>
      </c>
      <c r="H148" s="28" t="s">
        <v>13</v>
      </c>
      <c r="I148" s="29">
        <v>3002</v>
      </c>
      <c r="J148" s="30" t="s">
        <v>14</v>
      </c>
      <c r="K148" s="47"/>
      <c r="L148" s="29">
        <v>3002</v>
      </c>
      <c r="M148" s="30" t="s">
        <v>14</v>
      </c>
      <c r="N148" s="33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14.25" customHeight="1" x14ac:dyDescent="0.3">
      <c r="A149" s="35">
        <v>4146</v>
      </c>
      <c r="B149" s="36">
        <v>43201</v>
      </c>
      <c r="C149" s="35"/>
      <c r="D149" s="35" t="s">
        <v>161</v>
      </c>
      <c r="E149" s="35" t="s">
        <v>162</v>
      </c>
      <c r="F149" s="35"/>
      <c r="G149" s="35">
        <v>20</v>
      </c>
      <c r="H149" s="37" t="s">
        <v>108</v>
      </c>
      <c r="I149" s="38">
        <v>2074</v>
      </c>
      <c r="J149" s="39"/>
      <c r="K149" s="40" t="s">
        <v>163</v>
      </c>
      <c r="L149" s="21">
        <v>2892</v>
      </c>
      <c r="M149" s="41" t="s">
        <v>12</v>
      </c>
      <c r="N149" s="42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</row>
    <row r="150" spans="1:27" ht="14.25" customHeight="1" x14ac:dyDescent="0.3">
      <c r="A150" s="27">
        <v>4147</v>
      </c>
      <c r="B150" s="26">
        <v>43201</v>
      </c>
      <c r="C150" s="27"/>
      <c r="D150" s="27" t="s">
        <v>164</v>
      </c>
      <c r="E150" s="27"/>
      <c r="F150" s="27"/>
      <c r="G150" s="27">
        <v>11</v>
      </c>
      <c r="H150" s="28" t="s">
        <v>108</v>
      </c>
      <c r="I150" s="29">
        <v>2513</v>
      </c>
      <c r="J150" s="30"/>
      <c r="K150" s="47" t="s">
        <v>164</v>
      </c>
      <c r="L150" s="45">
        <v>2547</v>
      </c>
      <c r="M150" s="48" t="s">
        <v>12</v>
      </c>
      <c r="N150" s="33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14.25" customHeight="1" x14ac:dyDescent="0.3">
      <c r="A151" s="35">
        <v>4148</v>
      </c>
      <c r="B151" s="36">
        <v>43201</v>
      </c>
      <c r="C151" s="35"/>
      <c r="D151" s="35" t="s">
        <v>161</v>
      </c>
      <c r="E151" s="35"/>
      <c r="F151" s="35"/>
      <c r="G151" s="35">
        <v>15</v>
      </c>
      <c r="H151" s="37" t="s">
        <v>108</v>
      </c>
      <c r="I151" s="38">
        <v>2547</v>
      </c>
      <c r="J151" s="39" t="s">
        <v>12</v>
      </c>
      <c r="K151" s="40"/>
      <c r="L151" s="21">
        <v>2444</v>
      </c>
      <c r="M151" s="41"/>
      <c r="N151" s="42" t="s">
        <v>161</v>
      </c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</row>
    <row r="152" spans="1:27" ht="14.25" customHeight="1" x14ac:dyDescent="0.3">
      <c r="A152" s="27">
        <v>4149</v>
      </c>
      <c r="B152" s="26">
        <v>43201</v>
      </c>
      <c r="C152" s="27"/>
      <c r="D152" s="27" t="s">
        <v>157</v>
      </c>
      <c r="E152" s="27"/>
      <c r="F152" s="27"/>
      <c r="G152" s="27">
        <v>70</v>
      </c>
      <c r="H152" s="28" t="s">
        <v>140</v>
      </c>
      <c r="I152" s="29">
        <v>2040</v>
      </c>
      <c r="J152" s="30" t="s">
        <v>12</v>
      </c>
      <c r="K152" s="47"/>
      <c r="L152" s="45">
        <v>2922</v>
      </c>
      <c r="M152" s="48"/>
      <c r="N152" s="33" t="s">
        <v>157</v>
      </c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14.25" customHeight="1" x14ac:dyDescent="0.3">
      <c r="A153" s="35">
        <v>4150</v>
      </c>
      <c r="B153" s="36">
        <v>43201</v>
      </c>
      <c r="C153" s="35"/>
      <c r="D153" s="35" t="s">
        <v>145</v>
      </c>
      <c r="E153" s="35"/>
      <c r="F153" s="35"/>
      <c r="G153" s="35">
        <v>80</v>
      </c>
      <c r="H153" s="37" t="s">
        <v>165</v>
      </c>
      <c r="I153" s="38">
        <v>2497</v>
      </c>
      <c r="J153" s="39"/>
      <c r="K153" s="40" t="s">
        <v>145</v>
      </c>
      <c r="L153" s="21">
        <v>2995</v>
      </c>
      <c r="M153" s="41" t="s">
        <v>85</v>
      </c>
      <c r="N153" s="42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</row>
    <row r="154" spans="1:27" ht="14.25" customHeight="1" x14ac:dyDescent="0.3">
      <c r="A154" s="27">
        <v>4151</v>
      </c>
      <c r="B154" s="26">
        <v>43201</v>
      </c>
      <c r="C154" s="27"/>
      <c r="D154" s="27" t="s">
        <v>145</v>
      </c>
      <c r="E154" s="27"/>
      <c r="F154" s="27"/>
      <c r="G154" s="27">
        <v>80</v>
      </c>
      <c r="H154" s="28" t="s">
        <v>165</v>
      </c>
      <c r="I154" s="29">
        <v>2497</v>
      </c>
      <c r="J154" s="30"/>
      <c r="K154" s="47" t="s">
        <v>145</v>
      </c>
      <c r="L154" s="45">
        <v>2995</v>
      </c>
      <c r="M154" s="48" t="s">
        <v>85</v>
      </c>
      <c r="N154" s="33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14.25" customHeight="1" x14ac:dyDescent="0.3">
      <c r="A155" s="35">
        <v>4152</v>
      </c>
      <c r="B155" s="36">
        <v>43201</v>
      </c>
      <c r="C155" s="35"/>
      <c r="D155" s="35" t="s">
        <v>166</v>
      </c>
      <c r="E155" s="35"/>
      <c r="F155" s="35"/>
      <c r="G155" s="35">
        <v>70</v>
      </c>
      <c r="H155" s="37" t="s">
        <v>140</v>
      </c>
      <c r="I155" s="38">
        <v>2995</v>
      </c>
      <c r="J155" s="39" t="s">
        <v>85</v>
      </c>
      <c r="K155" s="40"/>
      <c r="L155" s="21">
        <v>2527</v>
      </c>
      <c r="M155" s="41"/>
      <c r="N155" s="42" t="s">
        <v>166</v>
      </c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</row>
    <row r="156" spans="1:27" ht="14.25" customHeight="1" x14ac:dyDescent="0.3">
      <c r="A156" s="27">
        <v>4153</v>
      </c>
      <c r="B156" s="26">
        <v>43201</v>
      </c>
      <c r="C156" s="27" t="s">
        <v>167</v>
      </c>
      <c r="D156" s="27"/>
      <c r="E156" s="27"/>
      <c r="F156" s="27"/>
      <c r="G156" s="27">
        <v>80</v>
      </c>
      <c r="H156" s="28" t="s">
        <v>140</v>
      </c>
      <c r="I156" s="29">
        <v>2909</v>
      </c>
      <c r="J156" s="30" t="s">
        <v>168</v>
      </c>
      <c r="K156" s="47"/>
      <c r="L156" s="45">
        <v>2995</v>
      </c>
      <c r="M156" s="48" t="s">
        <v>85</v>
      </c>
      <c r="N156" s="33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14.25" customHeight="1" x14ac:dyDescent="0.3">
      <c r="A157" s="35">
        <v>4154</v>
      </c>
      <c r="B157" s="36">
        <v>43201</v>
      </c>
      <c r="C157" s="35" t="s">
        <v>167</v>
      </c>
      <c r="D157" s="35" t="s">
        <v>139</v>
      </c>
      <c r="E157" s="35"/>
      <c r="F157" s="35"/>
      <c r="G157" s="35">
        <v>60</v>
      </c>
      <c r="H157" s="37" t="s">
        <v>140</v>
      </c>
      <c r="I157" s="38">
        <v>2476</v>
      </c>
      <c r="J157" s="39" t="s">
        <v>168</v>
      </c>
      <c r="K157" s="40" t="s">
        <v>139</v>
      </c>
      <c r="L157" s="21">
        <v>2476</v>
      </c>
      <c r="M157" s="41" t="s">
        <v>169</v>
      </c>
      <c r="N157" s="42" t="s">
        <v>139</v>
      </c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</row>
    <row r="158" spans="1:27" ht="14.25" customHeight="1" x14ac:dyDescent="0.3">
      <c r="A158" s="27">
        <v>4155</v>
      </c>
      <c r="B158" s="26">
        <v>43201</v>
      </c>
      <c r="C158" s="27"/>
      <c r="D158" s="27" t="s">
        <v>170</v>
      </c>
      <c r="E158" s="27"/>
      <c r="F158" s="27"/>
      <c r="G158" s="27">
        <v>50</v>
      </c>
      <c r="H158" s="28" t="s">
        <v>140</v>
      </c>
      <c r="I158" s="29">
        <v>2040</v>
      </c>
      <c r="J158" s="30" t="s">
        <v>85</v>
      </c>
      <c r="K158" s="47"/>
      <c r="L158" s="45">
        <v>2111</v>
      </c>
      <c r="M158" s="48"/>
      <c r="N158" s="33" t="s">
        <v>170</v>
      </c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14.25" customHeight="1" x14ac:dyDescent="0.3">
      <c r="A159" s="35">
        <v>4156</v>
      </c>
      <c r="B159" s="36">
        <v>43201</v>
      </c>
      <c r="C159" s="35"/>
      <c r="D159" s="35" t="s">
        <v>139</v>
      </c>
      <c r="E159" s="35"/>
      <c r="F159" s="35"/>
      <c r="G159" s="35">
        <v>30</v>
      </c>
      <c r="H159" s="37" t="s">
        <v>165</v>
      </c>
      <c r="I159" s="38">
        <v>2912</v>
      </c>
      <c r="J159" s="39" t="s">
        <v>85</v>
      </c>
      <c r="K159" s="40"/>
      <c r="L159" s="21">
        <v>2730</v>
      </c>
      <c r="M159" s="41"/>
      <c r="N159" s="42" t="s">
        <v>139</v>
      </c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</row>
    <row r="160" spans="1:27" ht="14.25" customHeight="1" x14ac:dyDescent="0.3">
      <c r="A160" s="25">
        <v>4157</v>
      </c>
      <c r="B160" s="26">
        <v>43201</v>
      </c>
      <c r="C160" s="27"/>
      <c r="D160" s="27" t="s">
        <v>148</v>
      </c>
      <c r="E160" s="27"/>
      <c r="F160" s="27"/>
      <c r="G160" s="27">
        <v>70</v>
      </c>
      <c r="H160" s="28" t="s">
        <v>165</v>
      </c>
      <c r="I160" s="29">
        <v>2681</v>
      </c>
      <c r="J160" s="30"/>
      <c r="K160" s="47" t="s">
        <v>148</v>
      </c>
      <c r="L160" s="45">
        <v>2911</v>
      </c>
      <c r="M160" s="48" t="s">
        <v>85</v>
      </c>
      <c r="N160" s="33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14.25" customHeight="1" x14ac:dyDescent="0.3">
      <c r="A161" s="35">
        <v>4158</v>
      </c>
      <c r="B161" s="36">
        <v>43201</v>
      </c>
      <c r="C161" s="35"/>
      <c r="D161" s="35" t="s">
        <v>156</v>
      </c>
      <c r="E161" s="35"/>
      <c r="F161" s="35"/>
      <c r="G161" s="35">
        <v>70</v>
      </c>
      <c r="H161" s="37" t="s">
        <v>140</v>
      </c>
      <c r="I161" s="38">
        <v>2234</v>
      </c>
      <c r="J161" s="39"/>
      <c r="K161" s="40" t="s">
        <v>156</v>
      </c>
      <c r="L161" s="21">
        <v>2995</v>
      </c>
      <c r="M161" s="41" t="s">
        <v>85</v>
      </c>
      <c r="N161" s="42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</row>
    <row r="162" spans="1:27" ht="14.25" customHeight="1" x14ac:dyDescent="0.3">
      <c r="A162" s="27">
        <v>4159</v>
      </c>
      <c r="B162" s="26">
        <v>43201</v>
      </c>
      <c r="C162" s="27"/>
      <c r="D162" s="27" t="s">
        <v>171</v>
      </c>
      <c r="E162" s="27" t="s">
        <v>154</v>
      </c>
      <c r="F162" s="27"/>
      <c r="G162" s="27">
        <v>5</v>
      </c>
      <c r="H162" s="28" t="s">
        <v>140</v>
      </c>
      <c r="I162" s="29">
        <v>2784</v>
      </c>
      <c r="J162" s="30"/>
      <c r="K162" s="47" t="s">
        <v>171</v>
      </c>
      <c r="L162" s="45">
        <v>2912</v>
      </c>
      <c r="M162" s="48" t="s">
        <v>85</v>
      </c>
      <c r="N162" s="33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14.25" customHeight="1" x14ac:dyDescent="0.3">
      <c r="A163" s="35">
        <v>4160</v>
      </c>
      <c r="B163" s="36">
        <v>43201</v>
      </c>
      <c r="C163" s="35"/>
      <c r="D163" s="35" t="s">
        <v>84</v>
      </c>
      <c r="E163" s="35"/>
      <c r="F163" s="35"/>
      <c r="G163" s="35">
        <v>40</v>
      </c>
      <c r="H163" s="37" t="s">
        <v>172</v>
      </c>
      <c r="I163" s="38">
        <v>2412</v>
      </c>
      <c r="J163" s="39"/>
      <c r="K163" s="35" t="s">
        <v>84</v>
      </c>
      <c r="L163" s="21">
        <v>2412</v>
      </c>
      <c r="M163" s="41" t="s">
        <v>85</v>
      </c>
      <c r="N163" s="42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</row>
    <row r="164" spans="1:27" ht="14.25" customHeight="1" x14ac:dyDescent="0.3">
      <c r="A164" s="27">
        <v>4161</v>
      </c>
      <c r="B164" s="26">
        <v>43201</v>
      </c>
      <c r="C164" s="27"/>
      <c r="D164" s="27" t="s">
        <v>32</v>
      </c>
      <c r="E164" s="27"/>
      <c r="F164" s="27"/>
      <c r="G164" s="27">
        <v>24</v>
      </c>
      <c r="H164" s="28" t="s">
        <v>172</v>
      </c>
      <c r="I164" s="29">
        <v>2895</v>
      </c>
      <c r="J164" s="30" t="s">
        <v>85</v>
      </c>
      <c r="K164" s="47"/>
      <c r="L164" s="45">
        <v>2073</v>
      </c>
      <c r="M164" s="48"/>
      <c r="N164" s="27" t="s">
        <v>32</v>
      </c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14.25" customHeight="1" x14ac:dyDescent="0.3">
      <c r="A165" s="35">
        <v>4162</v>
      </c>
      <c r="B165" s="36">
        <v>43201</v>
      </c>
      <c r="C165" s="35"/>
      <c r="D165" s="35" t="s">
        <v>173</v>
      </c>
      <c r="E165" s="35"/>
      <c r="F165" s="35"/>
      <c r="G165" s="35">
        <v>28</v>
      </c>
      <c r="H165" s="37" t="s">
        <v>172</v>
      </c>
      <c r="I165" s="38">
        <v>2365</v>
      </c>
      <c r="J165" s="35" t="s">
        <v>173</v>
      </c>
      <c r="K165" s="40"/>
      <c r="L165" s="21">
        <v>3037</v>
      </c>
      <c r="M165" s="41" t="s">
        <v>85</v>
      </c>
      <c r="N165" s="42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</row>
    <row r="166" spans="1:27" ht="14.25" customHeight="1" x14ac:dyDescent="0.3">
      <c r="A166" s="27">
        <v>4163</v>
      </c>
      <c r="B166" s="26">
        <v>43201</v>
      </c>
      <c r="C166" s="27"/>
      <c r="D166" s="27" t="s">
        <v>174</v>
      </c>
      <c r="E166" s="27"/>
      <c r="F166" s="27"/>
      <c r="G166" s="27">
        <v>25</v>
      </c>
      <c r="H166" s="28" t="s">
        <v>172</v>
      </c>
      <c r="I166" s="29">
        <v>3037</v>
      </c>
      <c r="J166" s="30" t="s">
        <v>85</v>
      </c>
      <c r="K166" s="47"/>
      <c r="L166" s="45">
        <v>2800</v>
      </c>
      <c r="M166" s="48"/>
      <c r="N166" s="27" t="s">
        <v>174</v>
      </c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14.25" customHeight="1" x14ac:dyDescent="0.3">
      <c r="A167" s="35">
        <v>4164</v>
      </c>
      <c r="B167" s="36">
        <v>43201</v>
      </c>
      <c r="C167" s="35"/>
      <c r="D167" s="35" t="s">
        <v>94</v>
      </c>
      <c r="E167" s="35"/>
      <c r="F167" s="35"/>
      <c r="G167" s="35">
        <v>31</v>
      </c>
      <c r="H167" s="37" t="s">
        <v>172</v>
      </c>
      <c r="I167" s="38" t="s">
        <v>175</v>
      </c>
      <c r="J167" s="39"/>
      <c r="K167" s="35" t="s">
        <v>94</v>
      </c>
      <c r="L167" s="21">
        <v>2895</v>
      </c>
      <c r="M167" s="41" t="s">
        <v>85</v>
      </c>
      <c r="N167" s="42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</row>
    <row r="168" spans="1:27" ht="14.25" customHeight="1" x14ac:dyDescent="0.3">
      <c r="A168" s="27">
        <v>4165</v>
      </c>
      <c r="B168" s="26">
        <v>43201</v>
      </c>
      <c r="C168" s="27"/>
      <c r="D168" s="27" t="s">
        <v>94</v>
      </c>
      <c r="E168" s="27" t="s">
        <v>26</v>
      </c>
      <c r="F168" s="27"/>
      <c r="G168" s="27">
        <v>7</v>
      </c>
      <c r="H168" s="28" t="s">
        <v>172</v>
      </c>
      <c r="I168" s="29">
        <v>2895</v>
      </c>
      <c r="J168" s="30" t="s">
        <v>85</v>
      </c>
      <c r="K168" s="47"/>
      <c r="L168" s="45">
        <v>2853</v>
      </c>
      <c r="M168" s="48"/>
      <c r="N168" s="27" t="s">
        <v>176</v>
      </c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14.25" customHeight="1" x14ac:dyDescent="0.3">
      <c r="A169" s="35">
        <v>4166</v>
      </c>
      <c r="B169" s="36">
        <v>43201</v>
      </c>
      <c r="C169" s="35" t="s">
        <v>12</v>
      </c>
      <c r="D169" s="35"/>
      <c r="E169" s="35"/>
      <c r="F169" s="35"/>
      <c r="G169" s="35">
        <v>60</v>
      </c>
      <c r="H169" s="37" t="s">
        <v>16</v>
      </c>
      <c r="I169" s="38">
        <v>2965</v>
      </c>
      <c r="J169" s="39" t="s">
        <v>12</v>
      </c>
      <c r="K169" s="40"/>
      <c r="L169" s="21">
        <v>2965</v>
      </c>
      <c r="M169" s="41" t="s">
        <v>12</v>
      </c>
      <c r="N169" s="42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</row>
    <row r="170" spans="1:27" ht="14.25" customHeight="1" x14ac:dyDescent="0.3">
      <c r="A170" s="27">
        <v>4167</v>
      </c>
      <c r="B170" s="26">
        <v>43201</v>
      </c>
      <c r="C170" s="27"/>
      <c r="D170" s="27" t="s">
        <v>177</v>
      </c>
      <c r="E170" s="27"/>
      <c r="F170" s="27"/>
      <c r="G170" s="27">
        <v>70</v>
      </c>
      <c r="H170" s="28" t="s">
        <v>16</v>
      </c>
      <c r="I170" s="29">
        <v>2965</v>
      </c>
      <c r="J170" s="30" t="s">
        <v>12</v>
      </c>
      <c r="K170" s="47"/>
      <c r="L170" s="45">
        <v>2958</v>
      </c>
      <c r="M170" s="48"/>
      <c r="N170" s="33" t="s">
        <v>177</v>
      </c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14.25" customHeight="1" x14ac:dyDescent="0.3">
      <c r="A171" s="35">
        <v>4168</v>
      </c>
      <c r="B171" s="36">
        <v>43201</v>
      </c>
      <c r="C171" s="35"/>
      <c r="D171" s="35" t="s">
        <v>22</v>
      </c>
      <c r="E171" s="35"/>
      <c r="F171" s="35"/>
      <c r="G171" s="35">
        <v>75</v>
      </c>
      <c r="H171" s="37" t="s">
        <v>178</v>
      </c>
      <c r="I171" s="38">
        <v>2204</v>
      </c>
      <c r="J171" s="39"/>
      <c r="K171" s="40" t="s">
        <v>22</v>
      </c>
      <c r="L171" s="21">
        <v>2964</v>
      </c>
      <c r="M171" s="41" t="s">
        <v>12</v>
      </c>
      <c r="N171" s="42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</row>
    <row r="172" spans="1:27" ht="14.25" customHeight="1" x14ac:dyDescent="0.3">
      <c r="A172" s="27">
        <v>4169</v>
      </c>
      <c r="B172" s="26">
        <v>43201</v>
      </c>
      <c r="C172" s="27"/>
      <c r="D172" s="27" t="s">
        <v>179</v>
      </c>
      <c r="E172" s="27"/>
      <c r="F172" s="27"/>
      <c r="G172" s="27">
        <v>25</v>
      </c>
      <c r="H172" s="28" t="s">
        <v>178</v>
      </c>
      <c r="I172" s="29">
        <v>2965</v>
      </c>
      <c r="J172" s="30" t="s">
        <v>12</v>
      </c>
      <c r="K172" s="47"/>
      <c r="L172" s="45">
        <v>2220</v>
      </c>
      <c r="M172" s="48"/>
      <c r="N172" s="33" t="s">
        <v>179</v>
      </c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14.25" customHeight="1" x14ac:dyDescent="0.3">
      <c r="A173" s="35">
        <v>4170</v>
      </c>
      <c r="B173" s="36">
        <v>43201</v>
      </c>
      <c r="C173" s="35"/>
      <c r="D173" s="35" t="s">
        <v>180</v>
      </c>
      <c r="E173" s="35"/>
      <c r="F173" s="35"/>
      <c r="G173" s="35">
        <v>50</v>
      </c>
      <c r="H173" s="37" t="s">
        <v>50</v>
      </c>
      <c r="I173" s="38">
        <v>2328</v>
      </c>
      <c r="J173" s="39"/>
      <c r="K173" s="35" t="s">
        <v>180</v>
      </c>
      <c r="L173" s="21">
        <v>2328</v>
      </c>
      <c r="M173" s="41"/>
      <c r="N173" s="35" t="s">
        <v>180</v>
      </c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</row>
    <row r="174" spans="1:27" ht="14.25" customHeight="1" x14ac:dyDescent="0.3">
      <c r="A174" s="27">
        <f t="shared" ref="A174:A188" si="0">A173+1</f>
        <v>4171</v>
      </c>
      <c r="B174" s="26">
        <v>43201</v>
      </c>
      <c r="C174" s="27"/>
      <c r="D174" s="27" t="s">
        <v>58</v>
      </c>
      <c r="E174" s="27" t="s">
        <v>59</v>
      </c>
      <c r="F174" s="27"/>
      <c r="G174" s="27">
        <v>60</v>
      </c>
      <c r="H174" s="28" t="s">
        <v>50</v>
      </c>
      <c r="I174" s="29">
        <v>3029</v>
      </c>
      <c r="J174" s="30"/>
      <c r="K174" s="47" t="s">
        <v>181</v>
      </c>
      <c r="L174" s="29">
        <v>3029</v>
      </c>
      <c r="M174" s="48"/>
      <c r="N174" s="47" t="s">
        <v>181</v>
      </c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14.25" customHeight="1" x14ac:dyDescent="0.3">
      <c r="A175" s="35">
        <f t="shared" si="0"/>
        <v>4172</v>
      </c>
      <c r="B175" s="36">
        <v>43201</v>
      </c>
      <c r="C175" s="35" t="s">
        <v>182</v>
      </c>
      <c r="D175" s="35"/>
      <c r="E175" s="35"/>
      <c r="F175" s="35"/>
      <c r="G175" s="35">
        <v>75</v>
      </c>
      <c r="H175" s="37" t="s">
        <v>50</v>
      </c>
      <c r="I175" s="38">
        <v>2155</v>
      </c>
      <c r="J175" s="39"/>
      <c r="K175" s="40" t="s">
        <v>183</v>
      </c>
      <c r="L175" s="21">
        <v>2440</v>
      </c>
      <c r="M175" s="41" t="s">
        <v>63</v>
      </c>
      <c r="N175" s="42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</row>
    <row r="176" spans="1:27" ht="14.25" customHeight="1" x14ac:dyDescent="0.3">
      <c r="A176" s="27">
        <f t="shared" si="0"/>
        <v>4173</v>
      </c>
      <c r="B176" s="26">
        <v>43201</v>
      </c>
      <c r="C176" s="27" t="s">
        <v>182</v>
      </c>
      <c r="D176" s="47" t="s">
        <v>183</v>
      </c>
      <c r="E176" s="27"/>
      <c r="F176" s="27"/>
      <c r="G176" s="27">
        <v>50</v>
      </c>
      <c r="H176" s="28" t="s">
        <v>50</v>
      </c>
      <c r="I176" s="29">
        <v>2155</v>
      </c>
      <c r="J176" s="30"/>
      <c r="K176" s="47" t="s">
        <v>183</v>
      </c>
      <c r="L176" s="45">
        <v>2440</v>
      </c>
      <c r="M176" s="48" t="s">
        <v>63</v>
      </c>
      <c r="N176" s="33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14.25" customHeight="1" x14ac:dyDescent="0.3">
      <c r="A177" s="35">
        <f t="shared" si="0"/>
        <v>4174</v>
      </c>
      <c r="B177" s="36">
        <v>43201</v>
      </c>
      <c r="C177" s="35"/>
      <c r="D177" s="35" t="s">
        <v>61</v>
      </c>
      <c r="E177" s="35"/>
      <c r="F177" s="35"/>
      <c r="G177" s="35">
        <v>15</v>
      </c>
      <c r="H177" s="37" t="s">
        <v>50</v>
      </c>
      <c r="I177" s="38">
        <v>2768</v>
      </c>
      <c r="J177" s="39"/>
      <c r="K177" s="35" t="s">
        <v>184</v>
      </c>
      <c r="L177" s="21">
        <v>2768</v>
      </c>
      <c r="M177" s="35" t="s">
        <v>184</v>
      </c>
      <c r="N177" s="42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</row>
    <row r="178" spans="1:27" ht="14.25" customHeight="1" x14ac:dyDescent="0.3">
      <c r="A178" s="27">
        <f t="shared" si="0"/>
        <v>4175</v>
      </c>
      <c r="B178" s="26">
        <v>43201</v>
      </c>
      <c r="C178" s="27"/>
      <c r="D178" s="27" t="s">
        <v>61</v>
      </c>
      <c r="E178" s="27" t="s">
        <v>49</v>
      </c>
      <c r="F178" s="27"/>
      <c r="G178" s="27">
        <v>50</v>
      </c>
      <c r="H178" s="28" t="s">
        <v>50</v>
      </c>
      <c r="I178" s="29">
        <v>2768</v>
      </c>
      <c r="K178" s="27" t="s">
        <v>184</v>
      </c>
      <c r="L178" s="45">
        <v>2768</v>
      </c>
      <c r="M178" s="27" t="s">
        <v>184</v>
      </c>
      <c r="N178" s="33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14.25" customHeight="1" x14ac:dyDescent="0.3">
      <c r="A179" s="25">
        <f t="shared" si="0"/>
        <v>4176</v>
      </c>
      <c r="B179" s="36">
        <v>43201</v>
      </c>
      <c r="C179" s="35" t="s">
        <v>185</v>
      </c>
      <c r="D179" s="35" t="s">
        <v>180</v>
      </c>
      <c r="E179" s="35"/>
      <c r="F179" s="35"/>
      <c r="G179" s="35">
        <v>30</v>
      </c>
      <c r="H179" s="37" t="s">
        <v>50</v>
      </c>
      <c r="I179" s="38">
        <v>3114</v>
      </c>
      <c r="J179" s="39" t="s">
        <v>186</v>
      </c>
      <c r="K179" s="35" t="s">
        <v>180</v>
      </c>
      <c r="L179" s="21">
        <v>4114</v>
      </c>
      <c r="M179" s="39" t="s">
        <v>186</v>
      </c>
      <c r="N179" s="35" t="s">
        <v>180</v>
      </c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</row>
    <row r="180" spans="1:27" ht="14.25" customHeight="1" x14ac:dyDescent="0.3">
      <c r="A180" s="25">
        <f t="shared" si="0"/>
        <v>4177</v>
      </c>
      <c r="B180" s="26">
        <v>43201</v>
      </c>
      <c r="C180" s="27" t="s">
        <v>185</v>
      </c>
      <c r="D180" s="27" t="s">
        <v>70</v>
      </c>
      <c r="E180" s="27" t="s">
        <v>180</v>
      </c>
      <c r="F180" s="27"/>
      <c r="G180" s="27">
        <v>30</v>
      </c>
      <c r="H180" s="28" t="s">
        <v>50</v>
      </c>
      <c r="I180" s="29">
        <v>2884</v>
      </c>
      <c r="J180" s="30" t="s">
        <v>186</v>
      </c>
      <c r="K180" s="27" t="s">
        <v>187</v>
      </c>
      <c r="L180" s="45">
        <v>2891</v>
      </c>
      <c r="M180" s="48" t="s">
        <v>12</v>
      </c>
      <c r="N180" s="33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14.25" customHeight="1" x14ac:dyDescent="0.3">
      <c r="A181" s="25">
        <f t="shared" si="0"/>
        <v>4178</v>
      </c>
      <c r="B181" s="36">
        <v>43201</v>
      </c>
      <c r="C181" s="35" t="s">
        <v>185</v>
      </c>
      <c r="D181" s="35" t="s">
        <v>70</v>
      </c>
      <c r="E181" s="35"/>
      <c r="F181" s="35"/>
      <c r="G181" s="35">
        <v>12</v>
      </c>
      <c r="H181" s="37" t="s">
        <v>50</v>
      </c>
      <c r="I181" s="38">
        <v>2884</v>
      </c>
      <c r="J181" s="39" t="s">
        <v>186</v>
      </c>
      <c r="K181" s="35" t="s">
        <v>187</v>
      </c>
      <c r="L181" s="21">
        <v>2891</v>
      </c>
      <c r="M181" s="41" t="s">
        <v>12</v>
      </c>
      <c r="N181" s="42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</row>
    <row r="182" spans="1:27" ht="14.25" customHeight="1" x14ac:dyDescent="0.3">
      <c r="A182" s="27">
        <f t="shared" si="0"/>
        <v>4179</v>
      </c>
      <c r="B182" s="26">
        <v>43201</v>
      </c>
      <c r="C182" s="27"/>
      <c r="D182" s="27" t="s">
        <v>183</v>
      </c>
      <c r="E182" s="27"/>
      <c r="F182" s="27"/>
      <c r="G182" s="27">
        <v>35</v>
      </c>
      <c r="H182" s="28" t="s">
        <v>50</v>
      </c>
      <c r="I182" s="29">
        <v>2891</v>
      </c>
      <c r="J182" s="30" t="s">
        <v>12</v>
      </c>
      <c r="K182" s="47"/>
      <c r="L182" s="45">
        <v>2155</v>
      </c>
      <c r="M182" s="48"/>
      <c r="N182" s="27" t="s">
        <v>183</v>
      </c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14.25" customHeight="1" x14ac:dyDescent="0.3">
      <c r="A183" s="35">
        <f t="shared" si="0"/>
        <v>4180</v>
      </c>
      <c r="B183" s="36">
        <v>43201</v>
      </c>
      <c r="C183" s="35" t="s">
        <v>188</v>
      </c>
      <c r="D183" s="35"/>
      <c r="E183" s="35"/>
      <c r="F183" s="35"/>
      <c r="G183" s="35">
        <v>80</v>
      </c>
      <c r="H183" s="37" t="s">
        <v>50</v>
      </c>
      <c r="I183" s="38">
        <v>2952</v>
      </c>
      <c r="J183" s="39" t="s">
        <v>189</v>
      </c>
      <c r="K183" s="40" t="s">
        <v>70</v>
      </c>
      <c r="L183" s="21">
        <v>2891</v>
      </c>
      <c r="M183" s="41" t="s">
        <v>12</v>
      </c>
      <c r="N183" s="42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</row>
    <row r="184" spans="1:27" ht="14.25" customHeight="1" x14ac:dyDescent="0.3">
      <c r="A184" s="27">
        <f t="shared" si="0"/>
        <v>4181</v>
      </c>
      <c r="B184" s="26">
        <v>43201</v>
      </c>
      <c r="C184" s="27" t="s">
        <v>188</v>
      </c>
      <c r="D184" s="27" t="s">
        <v>70</v>
      </c>
      <c r="E184" s="27"/>
      <c r="F184" s="27"/>
      <c r="G184" s="27">
        <v>70</v>
      </c>
      <c r="H184" s="28" t="s">
        <v>50</v>
      </c>
      <c r="I184" s="29">
        <v>2952</v>
      </c>
      <c r="J184" s="30" t="s">
        <v>189</v>
      </c>
      <c r="K184" s="47" t="s">
        <v>70</v>
      </c>
      <c r="L184" s="45">
        <v>2891</v>
      </c>
      <c r="M184" s="48" t="s">
        <v>12</v>
      </c>
      <c r="N184" s="33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14.25" customHeight="1" x14ac:dyDescent="0.3">
      <c r="A185" s="25">
        <f t="shared" si="0"/>
        <v>4182</v>
      </c>
      <c r="B185" s="36">
        <v>43201</v>
      </c>
      <c r="C185" s="35"/>
      <c r="D185" s="35" t="s">
        <v>47</v>
      </c>
      <c r="E185" s="35"/>
      <c r="F185" s="35"/>
      <c r="G185" s="35">
        <v>75</v>
      </c>
      <c r="H185" s="37" t="s">
        <v>50</v>
      </c>
      <c r="I185" s="38">
        <v>2447</v>
      </c>
      <c r="J185" s="39"/>
      <c r="K185" s="35" t="s">
        <v>47</v>
      </c>
      <c r="L185" s="21">
        <v>2891</v>
      </c>
      <c r="M185" s="41" t="s">
        <v>12</v>
      </c>
      <c r="N185" s="42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</row>
    <row r="186" spans="1:27" ht="14.25" customHeight="1" x14ac:dyDescent="0.3">
      <c r="A186" s="27">
        <f t="shared" si="0"/>
        <v>4183</v>
      </c>
      <c r="B186" s="26">
        <v>43201</v>
      </c>
      <c r="C186" s="27"/>
      <c r="D186" s="27" t="s">
        <v>162</v>
      </c>
      <c r="E186" s="27"/>
      <c r="F186" s="27"/>
      <c r="G186" s="27">
        <v>50</v>
      </c>
      <c r="H186" s="28" t="s">
        <v>50</v>
      </c>
      <c r="I186" s="29">
        <v>2927</v>
      </c>
      <c r="J186" s="30" t="s">
        <v>12</v>
      </c>
      <c r="K186" s="47"/>
      <c r="L186" s="45">
        <v>2452</v>
      </c>
      <c r="M186" s="48"/>
      <c r="N186" s="33" t="s">
        <v>162</v>
      </c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14.25" customHeight="1" x14ac:dyDescent="0.3">
      <c r="A187" s="35">
        <f t="shared" si="0"/>
        <v>4184</v>
      </c>
      <c r="B187" s="36">
        <v>43201</v>
      </c>
      <c r="C187" s="35"/>
      <c r="D187" s="35" t="s">
        <v>45</v>
      </c>
      <c r="E187" s="35"/>
      <c r="F187" s="35"/>
      <c r="G187" s="35">
        <v>60</v>
      </c>
      <c r="H187" s="37" t="s">
        <v>46</v>
      </c>
      <c r="I187" s="38">
        <v>2891</v>
      </c>
      <c r="J187" s="39" t="s">
        <v>12</v>
      </c>
      <c r="K187" s="40"/>
      <c r="L187" s="21">
        <v>2464</v>
      </c>
      <c r="M187" s="41"/>
      <c r="N187" s="42" t="s">
        <v>45</v>
      </c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</row>
    <row r="188" spans="1:27" ht="14.25" customHeight="1" x14ac:dyDescent="0.3">
      <c r="A188" s="27">
        <f t="shared" si="0"/>
        <v>4185</v>
      </c>
      <c r="B188" s="26">
        <v>43201</v>
      </c>
      <c r="C188" s="27"/>
      <c r="D188" s="27" t="s">
        <v>190</v>
      </c>
      <c r="E188" s="27"/>
      <c r="F188" s="27"/>
      <c r="G188" s="27">
        <v>50</v>
      </c>
      <c r="H188" s="28" t="s">
        <v>46</v>
      </c>
      <c r="I188" s="29">
        <v>2700</v>
      </c>
      <c r="J188" s="30"/>
      <c r="K188" s="27" t="s">
        <v>191</v>
      </c>
      <c r="L188" s="45">
        <v>2666</v>
      </c>
      <c r="M188" s="48" t="s">
        <v>12</v>
      </c>
      <c r="N188" s="33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14.25" customHeight="1" x14ac:dyDescent="0.3">
      <c r="A189" s="35">
        <v>4186</v>
      </c>
      <c r="B189" s="60">
        <v>43201</v>
      </c>
      <c r="C189" s="35"/>
      <c r="D189" s="35" t="s">
        <v>192</v>
      </c>
      <c r="E189" s="35"/>
      <c r="F189" s="35"/>
      <c r="G189" s="35">
        <v>43</v>
      </c>
      <c r="H189" s="37" t="s">
        <v>193</v>
      </c>
      <c r="I189" s="38">
        <v>2116</v>
      </c>
      <c r="J189" s="39"/>
      <c r="K189" s="40" t="s">
        <v>192</v>
      </c>
      <c r="L189" s="21">
        <v>2681</v>
      </c>
      <c r="M189" s="41"/>
      <c r="N189" s="42" t="s">
        <v>192</v>
      </c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</row>
    <row r="190" spans="1:27" ht="14.25" customHeight="1" x14ac:dyDescent="0.3">
      <c r="A190" s="27">
        <v>4187</v>
      </c>
      <c r="B190" s="64">
        <v>43201</v>
      </c>
      <c r="C190" s="27" t="s">
        <v>194</v>
      </c>
      <c r="D190" s="27"/>
      <c r="E190" s="27"/>
      <c r="F190" s="27"/>
      <c r="G190" s="27">
        <v>106</v>
      </c>
      <c r="H190" s="28" t="s">
        <v>195</v>
      </c>
      <c r="I190" s="65" t="s">
        <v>196</v>
      </c>
      <c r="J190" s="27" t="s">
        <v>194</v>
      </c>
      <c r="K190" s="47"/>
      <c r="L190" s="65" t="s">
        <v>196</v>
      </c>
      <c r="M190" s="27" t="s">
        <v>194</v>
      </c>
      <c r="N190" s="33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14.25" customHeight="1" x14ac:dyDescent="0.3">
      <c r="A191" s="35">
        <v>4188</v>
      </c>
      <c r="B191" s="36">
        <v>43201</v>
      </c>
      <c r="C191" s="35"/>
      <c r="D191" s="35" t="s">
        <v>197</v>
      </c>
      <c r="E191" s="35" t="s">
        <v>198</v>
      </c>
      <c r="F191" s="35"/>
      <c r="G191" s="35">
        <v>75</v>
      </c>
      <c r="H191" s="37" t="s">
        <v>50</v>
      </c>
      <c r="I191" s="38">
        <v>2791</v>
      </c>
      <c r="J191" s="39"/>
      <c r="K191" s="35" t="s">
        <v>199</v>
      </c>
      <c r="L191" s="21">
        <v>2927</v>
      </c>
      <c r="M191" s="41" t="s">
        <v>12</v>
      </c>
      <c r="N191" s="42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</row>
    <row r="192" spans="1:27" ht="14.25" customHeight="1" x14ac:dyDescent="0.3">
      <c r="A192" s="27">
        <v>4189</v>
      </c>
      <c r="B192" s="26">
        <v>43201</v>
      </c>
      <c r="C192" s="27"/>
      <c r="D192" s="27" t="s">
        <v>78</v>
      </c>
      <c r="E192" s="27"/>
      <c r="F192" s="27"/>
      <c r="G192" s="27">
        <v>15</v>
      </c>
      <c r="H192" s="28" t="s">
        <v>195</v>
      </c>
      <c r="I192" s="29">
        <v>2483</v>
      </c>
      <c r="J192" s="30"/>
      <c r="K192" s="47" t="s">
        <v>78</v>
      </c>
      <c r="L192" s="45">
        <v>2960</v>
      </c>
      <c r="M192" s="48" t="s">
        <v>12</v>
      </c>
      <c r="N192" s="33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14.25" customHeight="1" x14ac:dyDescent="0.3">
      <c r="A193" s="35">
        <v>4190</v>
      </c>
      <c r="B193" s="36">
        <v>43201</v>
      </c>
      <c r="C193" s="35"/>
      <c r="D193" s="35" t="s">
        <v>200</v>
      </c>
      <c r="E193" s="35"/>
      <c r="F193" s="35"/>
      <c r="G193" s="35">
        <v>12</v>
      </c>
      <c r="H193" s="37" t="s">
        <v>195</v>
      </c>
      <c r="I193" s="38">
        <v>2960</v>
      </c>
      <c r="J193" s="39" t="s">
        <v>12</v>
      </c>
      <c r="K193" s="40"/>
      <c r="L193" s="21">
        <v>2021</v>
      </c>
      <c r="M193" s="41"/>
      <c r="N193" s="42" t="s">
        <v>200</v>
      </c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</row>
    <row r="194" spans="1:27" ht="14.25" customHeight="1" x14ac:dyDescent="0.3">
      <c r="A194" s="25">
        <v>4191</v>
      </c>
      <c r="B194" s="26">
        <v>43208</v>
      </c>
      <c r="C194" s="27" t="s">
        <v>160</v>
      </c>
      <c r="D194" s="27"/>
      <c r="E194" s="27"/>
      <c r="F194" s="27"/>
      <c r="G194" s="27">
        <v>9</v>
      </c>
      <c r="H194" s="28" t="s">
        <v>13</v>
      </c>
      <c r="I194" s="29">
        <v>3002</v>
      </c>
      <c r="J194" s="27" t="s">
        <v>14</v>
      </c>
      <c r="K194" s="47"/>
      <c r="L194" s="45">
        <v>3002</v>
      </c>
      <c r="M194" s="27" t="s">
        <v>14</v>
      </c>
      <c r="N194" s="33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14.25" customHeight="1" x14ac:dyDescent="0.3">
      <c r="A195" s="35">
        <v>4192</v>
      </c>
      <c r="B195" s="36">
        <v>43208</v>
      </c>
      <c r="C195" s="35" t="s">
        <v>12</v>
      </c>
      <c r="D195" s="35"/>
      <c r="E195" s="35"/>
      <c r="F195" s="35"/>
      <c r="G195" s="35">
        <v>75</v>
      </c>
      <c r="H195" s="37" t="s">
        <v>39</v>
      </c>
      <c r="I195" s="38">
        <v>2904</v>
      </c>
      <c r="J195" s="39" t="s">
        <v>12</v>
      </c>
      <c r="K195" s="40"/>
      <c r="L195" s="21">
        <v>2904</v>
      </c>
      <c r="M195" s="41" t="s">
        <v>12</v>
      </c>
      <c r="N195" s="42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</row>
    <row r="196" spans="1:27" ht="14.25" customHeight="1" x14ac:dyDescent="0.3">
      <c r="A196" s="27">
        <v>4193</v>
      </c>
      <c r="B196" s="26">
        <v>43208</v>
      </c>
      <c r="C196" s="27" t="s">
        <v>12</v>
      </c>
      <c r="D196" s="27"/>
      <c r="E196" s="27"/>
      <c r="F196" s="27"/>
      <c r="G196" s="27">
        <v>50</v>
      </c>
      <c r="H196" s="28" t="s">
        <v>39</v>
      </c>
      <c r="I196" s="29">
        <v>2946</v>
      </c>
      <c r="J196" s="30" t="s">
        <v>12</v>
      </c>
      <c r="K196" s="47"/>
      <c r="L196" s="45">
        <v>2946</v>
      </c>
      <c r="M196" s="48" t="s">
        <v>12</v>
      </c>
      <c r="N196" s="33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14.25" customHeight="1" x14ac:dyDescent="0.3">
      <c r="A197" s="35">
        <v>4194</v>
      </c>
      <c r="B197" s="36">
        <v>43208</v>
      </c>
      <c r="C197" s="35" t="s">
        <v>12</v>
      </c>
      <c r="D197" s="35"/>
      <c r="E197" s="35"/>
      <c r="F197" s="35"/>
      <c r="G197" s="35">
        <v>100</v>
      </c>
      <c r="H197" s="37" t="s">
        <v>39</v>
      </c>
      <c r="I197" s="38">
        <v>2946</v>
      </c>
      <c r="J197" s="39" t="s">
        <v>12</v>
      </c>
      <c r="K197" s="40"/>
      <c r="L197" s="21">
        <v>2946</v>
      </c>
      <c r="M197" s="41" t="s">
        <v>12</v>
      </c>
      <c r="N197" s="42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</row>
    <row r="198" spans="1:27" ht="14.25" customHeight="1" x14ac:dyDescent="0.3">
      <c r="A198" s="27">
        <v>4195</v>
      </c>
      <c r="B198" s="26">
        <v>43208</v>
      </c>
      <c r="C198" s="27" t="s">
        <v>12</v>
      </c>
      <c r="D198" s="27"/>
      <c r="E198" s="27"/>
      <c r="F198" s="27"/>
      <c r="G198" s="27">
        <v>200</v>
      </c>
      <c r="H198" s="28" t="s">
        <v>39</v>
      </c>
      <c r="I198" s="29">
        <v>2946</v>
      </c>
      <c r="J198" s="30" t="s">
        <v>12</v>
      </c>
      <c r="K198" s="47"/>
      <c r="L198" s="45">
        <v>2946</v>
      </c>
      <c r="M198" s="48" t="s">
        <v>12</v>
      </c>
      <c r="N198" s="33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14.25" customHeight="1" x14ac:dyDescent="0.3">
      <c r="A199" s="35">
        <v>4196</v>
      </c>
      <c r="B199" s="36">
        <v>43208</v>
      </c>
      <c r="C199" s="35" t="s">
        <v>12</v>
      </c>
      <c r="D199" s="35"/>
      <c r="E199" s="35"/>
      <c r="F199" s="35"/>
      <c r="G199" s="35">
        <v>250</v>
      </c>
      <c r="H199" s="37" t="s">
        <v>39</v>
      </c>
      <c r="I199" s="38">
        <v>2946</v>
      </c>
      <c r="J199" s="39" t="s">
        <v>12</v>
      </c>
      <c r="K199" s="40"/>
      <c r="L199" s="21">
        <v>2946</v>
      </c>
      <c r="M199" s="41" t="s">
        <v>12</v>
      </c>
      <c r="N199" s="42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</row>
    <row r="200" spans="1:27" ht="14.25" customHeight="1" x14ac:dyDescent="0.3">
      <c r="A200" s="27">
        <v>4197</v>
      </c>
      <c r="B200" s="26">
        <v>43208</v>
      </c>
      <c r="C200" s="27" t="s">
        <v>12</v>
      </c>
      <c r="D200" s="27"/>
      <c r="E200" s="27"/>
      <c r="F200" s="27"/>
      <c r="G200" s="27">
        <v>200</v>
      </c>
      <c r="H200" s="28" t="s">
        <v>39</v>
      </c>
      <c r="I200" s="29">
        <v>2946</v>
      </c>
      <c r="J200" s="30" t="s">
        <v>12</v>
      </c>
      <c r="K200" s="47"/>
      <c r="L200" s="45">
        <v>2946</v>
      </c>
      <c r="M200" s="48" t="s">
        <v>12</v>
      </c>
      <c r="N200" s="33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14.25" customHeight="1" x14ac:dyDescent="0.3">
      <c r="A201" s="35">
        <v>4198</v>
      </c>
      <c r="B201" s="36">
        <v>43208</v>
      </c>
      <c r="C201" s="35"/>
      <c r="D201" s="35" t="s">
        <v>117</v>
      </c>
      <c r="E201" s="35"/>
      <c r="F201" s="35"/>
      <c r="G201" s="35">
        <v>15</v>
      </c>
      <c r="H201" s="37" t="s">
        <v>114</v>
      </c>
      <c r="I201" s="38">
        <v>2158</v>
      </c>
      <c r="J201" s="39" t="s">
        <v>12</v>
      </c>
      <c r="K201" s="40"/>
      <c r="L201" s="21">
        <v>2237</v>
      </c>
      <c r="M201" s="41"/>
      <c r="N201" s="42" t="s">
        <v>117</v>
      </c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</row>
    <row r="202" spans="1:27" ht="14.25" customHeight="1" x14ac:dyDescent="0.3">
      <c r="A202" s="27">
        <v>4199</v>
      </c>
      <c r="B202" s="26">
        <v>43208</v>
      </c>
      <c r="C202" s="27"/>
      <c r="D202" s="27" t="s">
        <v>38</v>
      </c>
      <c r="E202" s="27"/>
      <c r="F202" s="27"/>
      <c r="G202" s="27">
        <v>8</v>
      </c>
      <c r="H202" s="28" t="s">
        <v>108</v>
      </c>
      <c r="I202" s="29">
        <v>2547</v>
      </c>
      <c r="J202" s="30" t="s">
        <v>12</v>
      </c>
      <c r="K202" s="47"/>
      <c r="L202" s="45">
        <v>2444</v>
      </c>
      <c r="M202" s="48"/>
      <c r="N202" s="33" t="s">
        <v>161</v>
      </c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14.25" customHeight="1" x14ac:dyDescent="0.3">
      <c r="A203" s="35">
        <v>4200</v>
      </c>
      <c r="B203" s="36">
        <v>43208</v>
      </c>
      <c r="C203" s="35"/>
      <c r="D203" s="35" t="s">
        <v>201</v>
      </c>
      <c r="E203" s="35"/>
      <c r="F203" s="35"/>
      <c r="G203" s="35">
        <v>11</v>
      </c>
      <c r="H203" s="37" t="s">
        <v>108</v>
      </c>
      <c r="I203" s="38">
        <v>2391</v>
      </c>
      <c r="J203" s="39"/>
      <c r="K203" s="40" t="s">
        <v>201</v>
      </c>
      <c r="L203" s="21">
        <v>2892</v>
      </c>
      <c r="M203" s="41" t="s">
        <v>12</v>
      </c>
      <c r="N203" s="42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</row>
    <row r="204" spans="1:27" ht="14.25" customHeight="1" x14ac:dyDescent="0.3">
      <c r="A204" s="27">
        <v>4201</v>
      </c>
      <c r="B204" s="26">
        <v>43208</v>
      </c>
      <c r="C204" s="27"/>
      <c r="D204" s="27" t="s">
        <v>202</v>
      </c>
      <c r="E204" s="27" t="s">
        <v>203</v>
      </c>
      <c r="F204" s="27"/>
      <c r="G204" s="27">
        <v>20</v>
      </c>
      <c r="H204" s="28" t="s">
        <v>114</v>
      </c>
      <c r="I204" s="29">
        <v>2170</v>
      </c>
      <c r="J204" s="30"/>
      <c r="K204" s="47" t="s">
        <v>204</v>
      </c>
      <c r="L204" s="45">
        <v>2170</v>
      </c>
      <c r="M204" s="48"/>
      <c r="N204" s="66" t="s">
        <v>204</v>
      </c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14.25" customHeight="1" x14ac:dyDescent="0.3">
      <c r="A205" s="35">
        <v>4202</v>
      </c>
      <c r="B205" s="36">
        <v>43208</v>
      </c>
      <c r="C205" s="35"/>
      <c r="D205" s="35" t="s">
        <v>205</v>
      </c>
      <c r="E205" s="35"/>
      <c r="F205" s="35"/>
      <c r="G205" s="35">
        <v>2</v>
      </c>
      <c r="H205" s="37" t="s">
        <v>114</v>
      </c>
      <c r="I205" s="38">
        <v>3045</v>
      </c>
      <c r="J205" s="39" t="s">
        <v>12</v>
      </c>
      <c r="K205" s="40"/>
      <c r="L205" s="21">
        <v>2774</v>
      </c>
      <c r="M205" s="41"/>
      <c r="N205" s="42" t="s">
        <v>206</v>
      </c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</row>
    <row r="206" spans="1:27" ht="14.25" customHeight="1" x14ac:dyDescent="0.3">
      <c r="A206" s="27">
        <v>4203</v>
      </c>
      <c r="B206" s="26">
        <v>43208</v>
      </c>
      <c r="C206" s="27"/>
      <c r="D206" s="27" t="s">
        <v>15</v>
      </c>
      <c r="E206" s="27"/>
      <c r="F206" s="27"/>
      <c r="G206" s="27">
        <v>2</v>
      </c>
      <c r="H206" s="28" t="s">
        <v>108</v>
      </c>
      <c r="I206" s="29">
        <v>2869</v>
      </c>
      <c r="J206" s="30"/>
      <c r="K206" s="47" t="s">
        <v>207</v>
      </c>
      <c r="L206" s="45">
        <v>2892</v>
      </c>
      <c r="M206" s="48" t="s">
        <v>12</v>
      </c>
      <c r="N206" s="33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14.25" customHeight="1" x14ac:dyDescent="0.3">
      <c r="A207" s="35">
        <v>4204</v>
      </c>
      <c r="B207" s="36">
        <v>43208</v>
      </c>
      <c r="C207" s="35"/>
      <c r="D207" s="35" t="s">
        <v>202</v>
      </c>
      <c r="E207" s="35"/>
      <c r="F207" s="35"/>
      <c r="G207" s="35">
        <v>30</v>
      </c>
      <c r="H207" s="37" t="s">
        <v>114</v>
      </c>
      <c r="I207" s="38">
        <v>2168</v>
      </c>
      <c r="J207" s="39"/>
      <c r="K207" s="40" t="s">
        <v>202</v>
      </c>
      <c r="L207" s="21">
        <v>2168</v>
      </c>
      <c r="M207" s="41"/>
      <c r="N207" s="42" t="s">
        <v>202</v>
      </c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</row>
    <row r="208" spans="1:27" ht="14.25" customHeight="1" x14ac:dyDescent="0.3">
      <c r="A208" s="27">
        <v>4205</v>
      </c>
      <c r="B208" s="26">
        <v>43208</v>
      </c>
      <c r="C208" s="27"/>
      <c r="D208" s="27" t="s">
        <v>208</v>
      </c>
      <c r="E208" s="27"/>
      <c r="F208" s="27"/>
      <c r="G208" s="27">
        <v>50</v>
      </c>
      <c r="H208" s="28" t="s">
        <v>114</v>
      </c>
      <c r="I208" s="29">
        <v>2899</v>
      </c>
      <c r="J208" s="30"/>
      <c r="K208" s="47" t="s">
        <v>208</v>
      </c>
      <c r="L208" s="45">
        <v>2899</v>
      </c>
      <c r="M208" s="48"/>
      <c r="N208" s="33" t="s">
        <v>208</v>
      </c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14.25" customHeight="1" x14ac:dyDescent="0.3">
      <c r="A209" s="35">
        <v>4206</v>
      </c>
      <c r="B209" s="36">
        <v>43208</v>
      </c>
      <c r="C209" s="35"/>
      <c r="D209" s="35" t="s">
        <v>209</v>
      </c>
      <c r="E209" s="35"/>
      <c r="F209" s="35"/>
      <c r="G209" s="35">
        <v>30</v>
      </c>
      <c r="H209" s="37" t="s">
        <v>114</v>
      </c>
      <c r="I209" s="38">
        <v>2158</v>
      </c>
      <c r="J209" s="39" t="s">
        <v>85</v>
      </c>
      <c r="K209" s="40"/>
      <c r="L209" s="21">
        <v>2900</v>
      </c>
      <c r="M209" s="41"/>
      <c r="N209" s="42" t="s">
        <v>209</v>
      </c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</row>
    <row r="210" spans="1:27" ht="14.25" customHeight="1" x14ac:dyDescent="0.3">
      <c r="A210" s="27">
        <v>4207</v>
      </c>
      <c r="B210" s="26">
        <v>43208</v>
      </c>
      <c r="C210" s="27"/>
      <c r="D210" s="27" t="s">
        <v>164</v>
      </c>
      <c r="E210" s="27"/>
      <c r="F210" s="27"/>
      <c r="G210" s="27">
        <v>15</v>
      </c>
      <c r="H210" s="28" t="s">
        <v>210</v>
      </c>
      <c r="I210" s="29">
        <v>2513</v>
      </c>
      <c r="J210" s="30" t="s">
        <v>12</v>
      </c>
      <c r="K210" s="47"/>
      <c r="L210" s="45">
        <v>2513</v>
      </c>
      <c r="M210" s="48"/>
      <c r="N210" s="33" t="s">
        <v>164</v>
      </c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14.25" customHeight="1" x14ac:dyDescent="0.3">
      <c r="A211" s="35">
        <v>4208</v>
      </c>
      <c r="B211" s="60">
        <v>43208</v>
      </c>
      <c r="C211" s="35"/>
      <c r="D211" s="35" t="s">
        <v>211</v>
      </c>
      <c r="E211" s="35"/>
      <c r="F211" s="35"/>
      <c r="G211" s="35">
        <v>30</v>
      </c>
      <c r="H211" s="37" t="s">
        <v>212</v>
      </c>
      <c r="I211" s="38">
        <v>2158</v>
      </c>
      <c r="J211" s="39" t="s">
        <v>85</v>
      </c>
      <c r="K211" s="40"/>
      <c r="L211" s="21">
        <v>3140</v>
      </c>
      <c r="M211" s="41"/>
      <c r="N211" s="42" t="s">
        <v>211</v>
      </c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</row>
    <row r="212" spans="1:27" ht="14.25" customHeight="1" x14ac:dyDescent="0.3">
      <c r="A212" s="27">
        <v>4209</v>
      </c>
      <c r="B212" s="26">
        <v>43208</v>
      </c>
      <c r="C212" s="27" t="s">
        <v>213</v>
      </c>
      <c r="D212" s="27"/>
      <c r="E212" s="27"/>
      <c r="F212" s="27"/>
      <c r="G212" s="27">
        <v>250</v>
      </c>
      <c r="H212" s="28" t="s">
        <v>114</v>
      </c>
      <c r="I212" s="29">
        <v>2376</v>
      </c>
      <c r="J212" s="30" t="s">
        <v>214</v>
      </c>
      <c r="K212" s="47"/>
      <c r="L212" s="45">
        <v>2376</v>
      </c>
      <c r="M212" s="48"/>
      <c r="N212" s="33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14.25" customHeight="1" x14ac:dyDescent="0.3">
      <c r="A213" s="35">
        <v>4210</v>
      </c>
      <c r="B213" s="36">
        <v>43208</v>
      </c>
      <c r="C213" s="35" t="s">
        <v>215</v>
      </c>
      <c r="D213" s="35"/>
      <c r="E213" s="35"/>
      <c r="F213" s="35"/>
      <c r="G213" s="35">
        <v>250</v>
      </c>
      <c r="H213" s="37" t="s">
        <v>114</v>
      </c>
      <c r="I213" s="38">
        <v>3017</v>
      </c>
      <c r="J213" s="39" t="s">
        <v>215</v>
      </c>
      <c r="K213" s="40"/>
      <c r="L213" s="21">
        <v>3017</v>
      </c>
      <c r="M213" s="41" t="s">
        <v>215</v>
      </c>
      <c r="N213" s="42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</row>
    <row r="214" spans="1:27" ht="14.25" customHeight="1" x14ac:dyDescent="0.3">
      <c r="A214" s="27">
        <v>4211</v>
      </c>
      <c r="B214" s="26">
        <v>43208</v>
      </c>
      <c r="C214" s="27"/>
      <c r="D214" s="27" t="s">
        <v>145</v>
      </c>
      <c r="E214" s="27"/>
      <c r="F214" s="27"/>
      <c r="G214" s="27">
        <v>35</v>
      </c>
      <c r="H214" s="28" t="s">
        <v>165</v>
      </c>
      <c r="I214" s="29">
        <v>2116</v>
      </c>
      <c r="J214" s="30"/>
      <c r="K214" s="47" t="s">
        <v>148</v>
      </c>
      <c r="L214" s="45">
        <v>2912</v>
      </c>
      <c r="M214" s="48" t="s">
        <v>85</v>
      </c>
      <c r="N214" s="33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14.25" customHeight="1" x14ac:dyDescent="0.3">
      <c r="A215" s="35">
        <v>4212</v>
      </c>
      <c r="B215" s="36">
        <v>43208</v>
      </c>
      <c r="C215" s="35"/>
      <c r="D215" s="35" t="s">
        <v>139</v>
      </c>
      <c r="E215" s="35"/>
      <c r="F215" s="35"/>
      <c r="G215" s="35">
        <v>17</v>
      </c>
      <c r="H215" s="37" t="s">
        <v>165</v>
      </c>
      <c r="I215" s="38">
        <v>2912</v>
      </c>
      <c r="J215" s="39" t="s">
        <v>85</v>
      </c>
      <c r="K215" s="40"/>
      <c r="L215" s="21">
        <v>2730</v>
      </c>
      <c r="M215" s="41"/>
      <c r="N215" s="42" t="s">
        <v>139</v>
      </c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</row>
    <row r="216" spans="1:27" ht="14.25" customHeight="1" x14ac:dyDescent="0.3">
      <c r="A216" s="27">
        <v>4213</v>
      </c>
      <c r="B216" s="26">
        <v>43208</v>
      </c>
      <c r="C216" s="27"/>
      <c r="D216" s="27" t="s">
        <v>156</v>
      </c>
      <c r="E216" s="27"/>
      <c r="F216" s="27"/>
      <c r="G216" s="27">
        <v>45</v>
      </c>
      <c r="H216" s="28" t="s">
        <v>165</v>
      </c>
      <c r="I216" s="29">
        <v>2911</v>
      </c>
      <c r="J216" s="30" t="s">
        <v>85</v>
      </c>
      <c r="K216" s="47"/>
      <c r="L216" s="45">
        <v>2235</v>
      </c>
      <c r="M216" s="48"/>
      <c r="N216" s="33" t="s">
        <v>156</v>
      </c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14.25" customHeight="1" x14ac:dyDescent="0.3">
      <c r="A217" s="35">
        <v>4214</v>
      </c>
      <c r="B217" s="36">
        <v>43208</v>
      </c>
      <c r="C217" s="35"/>
      <c r="D217" s="35" t="s">
        <v>148</v>
      </c>
      <c r="E217" s="35"/>
      <c r="F217" s="35"/>
      <c r="G217" s="35">
        <v>46</v>
      </c>
      <c r="H217" s="37" t="s">
        <v>165</v>
      </c>
      <c r="I217" s="38">
        <v>2995</v>
      </c>
      <c r="J217" s="39" t="s">
        <v>85</v>
      </c>
      <c r="K217" s="40"/>
      <c r="L217" s="21">
        <v>2116</v>
      </c>
      <c r="M217" s="41"/>
      <c r="N217" s="42" t="s">
        <v>148</v>
      </c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</row>
    <row r="218" spans="1:27" ht="14.25" customHeight="1" x14ac:dyDescent="0.3">
      <c r="A218" s="27">
        <v>4215</v>
      </c>
      <c r="B218" s="26">
        <v>43208</v>
      </c>
      <c r="C218" s="27"/>
      <c r="D218" s="27" t="s">
        <v>216</v>
      </c>
      <c r="E218" s="27" t="s">
        <v>217</v>
      </c>
      <c r="F218" s="27"/>
      <c r="G218" s="27">
        <v>18</v>
      </c>
      <c r="H218" s="28" t="s">
        <v>140</v>
      </c>
      <c r="I218" s="29">
        <v>2525</v>
      </c>
      <c r="J218" s="30"/>
      <c r="K218" s="27" t="s">
        <v>218</v>
      </c>
      <c r="L218" s="45">
        <v>2525</v>
      </c>
      <c r="M218" s="48"/>
      <c r="N218" s="27" t="s">
        <v>218</v>
      </c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14.25" customHeight="1" x14ac:dyDescent="0.3">
      <c r="A219" s="35">
        <v>4216</v>
      </c>
      <c r="B219" s="36">
        <v>43208</v>
      </c>
      <c r="C219" s="35"/>
      <c r="D219" s="35" t="s">
        <v>154</v>
      </c>
      <c r="E219" s="35"/>
      <c r="F219" s="35"/>
      <c r="G219" s="35">
        <v>35</v>
      </c>
      <c r="H219" s="37" t="s">
        <v>165</v>
      </c>
      <c r="I219" s="38">
        <v>2684</v>
      </c>
      <c r="J219" s="39"/>
      <c r="K219" s="40" t="s">
        <v>154</v>
      </c>
      <c r="L219" s="21">
        <v>2911</v>
      </c>
      <c r="M219" s="41" t="s">
        <v>85</v>
      </c>
      <c r="N219" s="42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</row>
    <row r="220" spans="1:27" ht="14.25" customHeight="1" x14ac:dyDescent="0.3">
      <c r="A220" s="27">
        <v>4217</v>
      </c>
      <c r="B220" s="26">
        <v>43208</v>
      </c>
      <c r="C220" s="27"/>
      <c r="D220" s="27" t="s">
        <v>94</v>
      </c>
      <c r="E220" s="27" t="s">
        <v>219</v>
      </c>
      <c r="F220" s="27"/>
      <c r="G220" s="27">
        <v>35</v>
      </c>
      <c r="H220" s="28" t="s">
        <v>33</v>
      </c>
      <c r="I220" s="29">
        <v>2968</v>
      </c>
      <c r="J220" s="30"/>
      <c r="K220" s="27" t="s">
        <v>220</v>
      </c>
      <c r="L220" s="45">
        <v>2086</v>
      </c>
      <c r="M220" s="48"/>
      <c r="N220" s="27" t="s">
        <v>94</v>
      </c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14.25" customHeight="1" x14ac:dyDescent="0.3">
      <c r="A221" s="35">
        <v>4218</v>
      </c>
      <c r="B221" s="36">
        <v>43208</v>
      </c>
      <c r="C221" s="35"/>
      <c r="D221" s="35" t="s">
        <v>97</v>
      </c>
      <c r="E221" s="35"/>
      <c r="F221" s="35"/>
      <c r="G221" s="35">
        <v>45</v>
      </c>
      <c r="H221" s="37" t="s">
        <v>33</v>
      </c>
      <c r="I221" s="38" t="s">
        <v>221</v>
      </c>
      <c r="J221" s="39"/>
      <c r="K221" s="35" t="s">
        <v>222</v>
      </c>
      <c r="L221" s="21">
        <v>2895</v>
      </c>
      <c r="M221" s="41" t="s">
        <v>85</v>
      </c>
      <c r="N221" s="42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</row>
    <row r="222" spans="1:27" ht="14.25" customHeight="1" x14ac:dyDescent="0.3">
      <c r="A222" s="27">
        <v>4219</v>
      </c>
      <c r="B222" s="26">
        <v>43208</v>
      </c>
      <c r="C222" s="27"/>
      <c r="D222" s="27" t="s">
        <v>223</v>
      </c>
      <c r="E222" s="27"/>
      <c r="F222" s="27"/>
      <c r="G222" s="27">
        <v>16</v>
      </c>
      <c r="H222" s="28" t="s">
        <v>33</v>
      </c>
      <c r="I222" s="29">
        <v>2874</v>
      </c>
      <c r="J222" s="30"/>
      <c r="K222" s="27" t="s">
        <v>223</v>
      </c>
      <c r="L222" s="45">
        <v>2874</v>
      </c>
      <c r="M222" s="48"/>
      <c r="N222" s="27" t="s">
        <v>223</v>
      </c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14.25" customHeight="1" x14ac:dyDescent="0.3">
      <c r="A223" s="35">
        <v>4220</v>
      </c>
      <c r="B223" s="36">
        <v>43208</v>
      </c>
      <c r="C223" s="35"/>
      <c r="D223" s="35" t="s">
        <v>94</v>
      </c>
      <c r="E223" s="35"/>
      <c r="F223" s="35"/>
      <c r="G223" s="35">
        <v>44</v>
      </c>
      <c r="H223" s="37" t="s">
        <v>33</v>
      </c>
      <c r="I223" s="38">
        <v>2968</v>
      </c>
      <c r="J223" s="39"/>
      <c r="K223" s="35" t="s">
        <v>220</v>
      </c>
      <c r="L223" s="21">
        <v>2086</v>
      </c>
      <c r="M223" s="41"/>
      <c r="N223" s="35" t="s">
        <v>94</v>
      </c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</row>
    <row r="224" spans="1:27" ht="14.25" customHeight="1" x14ac:dyDescent="0.3">
      <c r="A224" s="27">
        <v>4221</v>
      </c>
      <c r="B224" s="26">
        <v>43208</v>
      </c>
      <c r="C224" s="27"/>
      <c r="D224" s="27" t="s">
        <v>224</v>
      </c>
      <c r="E224" s="27"/>
      <c r="F224" s="27"/>
      <c r="G224" s="27">
        <v>23</v>
      </c>
      <c r="H224" s="28" t="s">
        <v>33</v>
      </c>
      <c r="I224" s="29">
        <v>3051</v>
      </c>
      <c r="J224" s="30"/>
      <c r="K224" s="27" t="s">
        <v>224</v>
      </c>
      <c r="L224" s="45">
        <v>3051</v>
      </c>
      <c r="M224" s="48"/>
      <c r="N224" s="27" t="s">
        <v>224</v>
      </c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14.25" customHeight="1" x14ac:dyDescent="0.3">
      <c r="A225" s="35">
        <v>4222</v>
      </c>
      <c r="B225" s="36">
        <v>43208</v>
      </c>
      <c r="C225" s="35"/>
      <c r="D225" s="35" t="s">
        <v>84</v>
      </c>
      <c r="E225" s="35" t="s">
        <v>89</v>
      </c>
      <c r="F225" s="35"/>
      <c r="G225" s="35">
        <v>29</v>
      </c>
      <c r="H225" s="37" t="s">
        <v>33</v>
      </c>
      <c r="I225" s="38">
        <v>2847</v>
      </c>
      <c r="J225" s="39" t="s">
        <v>85</v>
      </c>
      <c r="K225" s="40"/>
      <c r="L225" s="21">
        <v>2841</v>
      </c>
      <c r="M225" s="41"/>
      <c r="N225" s="35" t="s">
        <v>86</v>
      </c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</row>
    <row r="226" spans="1:27" ht="14.25" customHeight="1" x14ac:dyDescent="0.3">
      <c r="A226" s="27">
        <v>4223</v>
      </c>
      <c r="B226" s="26">
        <v>43208</v>
      </c>
      <c r="C226" s="27"/>
      <c r="D226" s="27" t="s">
        <v>89</v>
      </c>
      <c r="E226" s="27"/>
      <c r="F226" s="27"/>
      <c r="G226" s="27">
        <v>40</v>
      </c>
      <c r="H226" s="28" t="s">
        <v>33</v>
      </c>
      <c r="I226" s="29">
        <v>2847</v>
      </c>
      <c r="J226" s="30" t="s">
        <v>85</v>
      </c>
      <c r="K226" s="47"/>
      <c r="L226" s="45" t="s">
        <v>225</v>
      </c>
      <c r="M226" s="48"/>
      <c r="N226" s="27" t="s">
        <v>86</v>
      </c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14.25" customHeight="1" x14ac:dyDescent="0.3">
      <c r="A227" s="35">
        <v>4224</v>
      </c>
      <c r="B227" s="36">
        <v>43208</v>
      </c>
      <c r="C227" s="35"/>
      <c r="D227" s="35" t="s">
        <v>87</v>
      </c>
      <c r="E227" s="35" t="s">
        <v>89</v>
      </c>
      <c r="F227" s="35"/>
      <c r="G227" s="35">
        <v>20</v>
      </c>
      <c r="H227" s="37" t="s">
        <v>33</v>
      </c>
      <c r="I227" s="38" t="s">
        <v>226</v>
      </c>
      <c r="J227" s="39" t="s">
        <v>85</v>
      </c>
      <c r="K227" s="35" t="s">
        <v>89</v>
      </c>
      <c r="L227" s="21" t="s">
        <v>227</v>
      </c>
      <c r="M227" s="41"/>
      <c r="N227" s="35" t="s">
        <v>228</v>
      </c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</row>
    <row r="228" spans="1:27" ht="14.25" customHeight="1" x14ac:dyDescent="0.3">
      <c r="A228" s="27">
        <v>4225</v>
      </c>
      <c r="B228" s="26">
        <v>43208</v>
      </c>
      <c r="C228" s="27"/>
      <c r="D228" s="27" t="s">
        <v>87</v>
      </c>
      <c r="E228" s="27"/>
      <c r="F228" s="27"/>
      <c r="G228" s="27">
        <v>27</v>
      </c>
      <c r="H228" s="28" t="s">
        <v>33</v>
      </c>
      <c r="I228" s="29">
        <v>2847</v>
      </c>
      <c r="J228" s="30" t="s">
        <v>85</v>
      </c>
      <c r="K228" s="47"/>
      <c r="L228" s="45">
        <v>2841</v>
      </c>
      <c r="M228" s="48"/>
      <c r="N228" s="57" t="s">
        <v>88</v>
      </c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14.25" customHeight="1" x14ac:dyDescent="0.3">
      <c r="A229" s="35">
        <v>4226</v>
      </c>
      <c r="B229" s="36">
        <v>43208</v>
      </c>
      <c r="C229" s="35"/>
      <c r="D229" s="35" t="s">
        <v>87</v>
      </c>
      <c r="E229" s="35"/>
      <c r="F229" s="35"/>
      <c r="G229" s="35">
        <v>22</v>
      </c>
      <c r="H229" s="37" t="s">
        <v>33</v>
      </c>
      <c r="I229" s="38">
        <v>3130</v>
      </c>
      <c r="J229" s="39"/>
      <c r="K229" s="35" t="s">
        <v>87</v>
      </c>
      <c r="L229" s="21">
        <v>3130</v>
      </c>
      <c r="M229" s="41"/>
      <c r="N229" s="35" t="s">
        <v>87</v>
      </c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</row>
    <row r="230" spans="1:27" ht="14.25" customHeight="1" x14ac:dyDescent="0.3">
      <c r="A230" s="27">
        <v>4227</v>
      </c>
      <c r="B230" s="26">
        <v>43208</v>
      </c>
      <c r="C230" s="27"/>
      <c r="D230" s="27" t="s">
        <v>174</v>
      </c>
      <c r="E230" s="27"/>
      <c r="F230" s="27"/>
      <c r="G230" s="27">
        <v>60</v>
      </c>
      <c r="H230" s="28" t="s">
        <v>33</v>
      </c>
      <c r="I230" s="29" t="s">
        <v>229</v>
      </c>
      <c r="J230" s="30"/>
      <c r="K230" s="27" t="s">
        <v>174</v>
      </c>
      <c r="L230" s="29" t="s">
        <v>229</v>
      </c>
      <c r="M230" s="48"/>
      <c r="N230" s="27" t="s">
        <v>174</v>
      </c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14.25" customHeight="1" x14ac:dyDescent="0.3">
      <c r="A231" s="35">
        <v>4228</v>
      </c>
      <c r="B231" s="36">
        <v>43208</v>
      </c>
      <c r="C231" s="35"/>
      <c r="D231" s="35" t="s">
        <v>31</v>
      </c>
      <c r="E231" s="35"/>
      <c r="F231" s="35"/>
      <c r="G231" s="35">
        <v>18</v>
      </c>
      <c r="H231" s="37" t="s">
        <v>33</v>
      </c>
      <c r="I231" s="38">
        <v>2895</v>
      </c>
      <c r="J231" s="39" t="s">
        <v>85</v>
      </c>
      <c r="K231" s="40"/>
      <c r="L231" s="21" t="s">
        <v>230</v>
      </c>
      <c r="M231" s="41"/>
      <c r="N231" s="35" t="s">
        <v>31</v>
      </c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</row>
    <row r="232" spans="1:27" ht="14.25" customHeight="1" x14ac:dyDescent="0.3">
      <c r="A232" s="27">
        <v>4229</v>
      </c>
      <c r="B232" s="26">
        <v>43208</v>
      </c>
      <c r="C232" s="27"/>
      <c r="D232" s="27" t="s">
        <v>84</v>
      </c>
      <c r="E232" s="27"/>
      <c r="F232" s="27"/>
      <c r="G232" s="27">
        <v>22</v>
      </c>
      <c r="H232" s="28" t="s">
        <v>33</v>
      </c>
      <c r="I232" s="29">
        <v>2847</v>
      </c>
      <c r="J232" s="30" t="s">
        <v>85</v>
      </c>
      <c r="K232" s="47"/>
      <c r="L232" s="45">
        <v>2841</v>
      </c>
      <c r="M232" s="48"/>
      <c r="N232" s="27" t="s">
        <v>86</v>
      </c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14.25" customHeight="1" x14ac:dyDescent="0.3">
      <c r="A233" s="35">
        <v>4230</v>
      </c>
      <c r="B233" s="36">
        <v>43208</v>
      </c>
      <c r="C233" s="35"/>
      <c r="D233" s="35" t="s">
        <v>97</v>
      </c>
      <c r="E233" s="35" t="s">
        <v>231</v>
      </c>
      <c r="F233" s="35"/>
      <c r="G233" s="35">
        <v>0</v>
      </c>
      <c r="H233" s="37" t="s">
        <v>33</v>
      </c>
      <c r="I233" s="38">
        <v>2140</v>
      </c>
      <c r="J233" s="39"/>
      <c r="K233" s="35" t="s">
        <v>232</v>
      </c>
      <c r="L233" s="38">
        <v>2140</v>
      </c>
      <c r="M233" s="39"/>
      <c r="N233" s="35" t="s">
        <v>232</v>
      </c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</row>
    <row r="234" spans="1:27" ht="14.25" customHeight="1" x14ac:dyDescent="0.3">
      <c r="A234" s="27">
        <v>4231</v>
      </c>
      <c r="B234" s="26">
        <v>43208</v>
      </c>
      <c r="C234" s="27"/>
      <c r="D234" s="27" t="s">
        <v>233</v>
      </c>
      <c r="E234" s="27"/>
      <c r="F234" s="27"/>
      <c r="G234" s="27">
        <v>50</v>
      </c>
      <c r="H234" s="28" t="s">
        <v>50</v>
      </c>
      <c r="I234" s="29">
        <v>2700</v>
      </c>
      <c r="J234" s="30"/>
      <c r="K234" s="27" t="s">
        <v>233</v>
      </c>
      <c r="L234" s="45">
        <v>2666</v>
      </c>
      <c r="M234" s="48" t="s">
        <v>12</v>
      </c>
      <c r="N234" s="33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14.25" customHeight="1" x14ac:dyDescent="0.3">
      <c r="A235" s="35">
        <v>4232</v>
      </c>
      <c r="B235" s="36">
        <v>43208</v>
      </c>
      <c r="C235" s="35"/>
      <c r="D235" s="35" t="s">
        <v>161</v>
      </c>
      <c r="E235" s="35" t="s">
        <v>162</v>
      </c>
      <c r="F235" s="35"/>
      <c r="G235" s="35">
        <v>60</v>
      </c>
      <c r="H235" s="37" t="s">
        <v>234</v>
      </c>
      <c r="I235" s="38">
        <v>2074</v>
      </c>
      <c r="J235" s="39"/>
      <c r="K235" s="35" t="s">
        <v>235</v>
      </c>
      <c r="L235" s="21">
        <v>2891</v>
      </c>
      <c r="M235" s="41" t="s">
        <v>12</v>
      </c>
      <c r="N235" s="42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</row>
    <row r="236" spans="1:27" ht="14.25" customHeight="1" x14ac:dyDescent="0.3">
      <c r="A236" s="27">
        <v>4233</v>
      </c>
      <c r="B236" s="26">
        <v>43208</v>
      </c>
      <c r="C236" s="27"/>
      <c r="D236" s="27" t="s">
        <v>161</v>
      </c>
      <c r="E236" s="27"/>
      <c r="F236" s="27"/>
      <c r="G236" s="27">
        <v>55</v>
      </c>
      <c r="H236" s="28" t="s">
        <v>234</v>
      </c>
      <c r="I236" s="29">
        <v>2074</v>
      </c>
      <c r="J236" s="30"/>
      <c r="K236" s="27" t="s">
        <v>235</v>
      </c>
      <c r="L236" s="45">
        <v>2891</v>
      </c>
      <c r="M236" s="48" t="s">
        <v>12</v>
      </c>
      <c r="N236" s="33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14.25" customHeight="1" x14ac:dyDescent="0.3">
      <c r="A237" s="35">
        <v>4234</v>
      </c>
      <c r="B237" s="36">
        <v>43208</v>
      </c>
      <c r="C237" s="35"/>
      <c r="D237" s="35" t="s">
        <v>236</v>
      </c>
      <c r="E237" s="35"/>
      <c r="F237" s="35"/>
      <c r="G237" s="35">
        <v>40</v>
      </c>
      <c r="H237" s="37" t="s">
        <v>234</v>
      </c>
      <c r="I237" s="38">
        <v>2878</v>
      </c>
      <c r="J237" s="39"/>
      <c r="K237" s="35" t="s">
        <v>236</v>
      </c>
      <c r="L237" s="21">
        <v>2878</v>
      </c>
      <c r="M237" s="41"/>
      <c r="N237" s="35" t="s">
        <v>236</v>
      </c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</row>
    <row r="238" spans="1:27" ht="14.25" customHeight="1" x14ac:dyDescent="0.3">
      <c r="A238" s="27">
        <v>4235</v>
      </c>
      <c r="B238" s="26">
        <v>43208</v>
      </c>
      <c r="C238" s="27" t="s">
        <v>12</v>
      </c>
      <c r="D238" s="27"/>
      <c r="E238" s="27"/>
      <c r="F238" s="27"/>
      <c r="G238" s="27">
        <v>90</v>
      </c>
      <c r="H238" s="28" t="s">
        <v>50</v>
      </c>
      <c r="I238" s="29">
        <v>2927</v>
      </c>
      <c r="J238" s="27" t="s">
        <v>12</v>
      </c>
      <c r="K238" s="47"/>
      <c r="L238" s="45">
        <v>2927</v>
      </c>
      <c r="M238" s="27" t="s">
        <v>12</v>
      </c>
      <c r="N238" s="33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14.25" customHeight="1" x14ac:dyDescent="0.3">
      <c r="A239" s="35">
        <v>4236</v>
      </c>
      <c r="B239" s="36">
        <v>43208</v>
      </c>
      <c r="C239" s="35"/>
      <c r="D239" s="35" t="s">
        <v>57</v>
      </c>
      <c r="E239" s="35"/>
      <c r="F239" s="35"/>
      <c r="G239" s="35">
        <v>50</v>
      </c>
      <c r="H239" s="37" t="s">
        <v>50</v>
      </c>
      <c r="I239" s="38">
        <v>2463</v>
      </c>
      <c r="J239" s="39"/>
      <c r="K239" s="35" t="s">
        <v>57</v>
      </c>
      <c r="L239" s="21">
        <v>2891</v>
      </c>
      <c r="M239" s="35" t="s">
        <v>12</v>
      </c>
      <c r="N239" s="42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</row>
    <row r="240" spans="1:27" ht="14.25" customHeight="1" x14ac:dyDescent="0.3">
      <c r="A240" s="27">
        <v>4237</v>
      </c>
      <c r="B240" s="26">
        <v>43208</v>
      </c>
      <c r="C240" s="27"/>
      <c r="D240" s="27" t="s">
        <v>237</v>
      </c>
      <c r="E240" s="27"/>
      <c r="F240" s="27"/>
      <c r="G240" s="27">
        <v>73</v>
      </c>
      <c r="H240" s="28" t="s">
        <v>195</v>
      </c>
      <c r="I240" s="29" t="s">
        <v>238</v>
      </c>
      <c r="J240" s="30" t="s">
        <v>239</v>
      </c>
      <c r="K240" s="47" t="s">
        <v>240</v>
      </c>
      <c r="L240" s="45" t="s">
        <v>241</v>
      </c>
      <c r="M240" s="48" t="s">
        <v>239</v>
      </c>
      <c r="N240" s="33" t="s">
        <v>242</v>
      </c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14.25" customHeight="1" x14ac:dyDescent="0.3">
      <c r="A241" s="35">
        <v>4238</v>
      </c>
      <c r="B241" s="36">
        <v>43208</v>
      </c>
      <c r="C241" s="35" t="s">
        <v>194</v>
      </c>
      <c r="D241" s="35"/>
      <c r="E241" s="35"/>
      <c r="F241" s="35"/>
      <c r="G241" s="35">
        <v>20</v>
      </c>
      <c r="H241" s="37" t="s">
        <v>195</v>
      </c>
      <c r="I241" s="38" t="s">
        <v>243</v>
      </c>
      <c r="J241" s="39" t="s">
        <v>244</v>
      </c>
      <c r="K241" s="40"/>
      <c r="L241" s="38" t="s">
        <v>243</v>
      </c>
      <c r="M241" s="39" t="s">
        <v>244</v>
      </c>
      <c r="N241" s="42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</row>
    <row r="242" spans="1:27" ht="14.25" customHeight="1" x14ac:dyDescent="0.3">
      <c r="A242" s="27">
        <v>4239</v>
      </c>
      <c r="B242" s="26">
        <v>43208</v>
      </c>
      <c r="C242" s="27"/>
      <c r="D242" s="27" t="s">
        <v>200</v>
      </c>
      <c r="E242" s="27"/>
      <c r="F242" s="27"/>
      <c r="G242" s="27">
        <v>33</v>
      </c>
      <c r="H242" s="28" t="s">
        <v>195</v>
      </c>
      <c r="I242" s="29" t="s">
        <v>245</v>
      </c>
      <c r="J242" s="30" t="s">
        <v>239</v>
      </c>
      <c r="K242" s="47" t="s">
        <v>246</v>
      </c>
      <c r="L242" s="45" t="s">
        <v>247</v>
      </c>
      <c r="M242" s="30" t="s">
        <v>239</v>
      </c>
      <c r="N242" s="47" t="s">
        <v>248</v>
      </c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14.25" customHeight="1" x14ac:dyDescent="0.3">
      <c r="A243" s="35">
        <v>4240</v>
      </c>
      <c r="B243" s="36">
        <v>43208</v>
      </c>
      <c r="C243" s="35"/>
      <c r="D243" s="35" t="s">
        <v>249</v>
      </c>
      <c r="E243" s="35"/>
      <c r="F243" s="35"/>
      <c r="G243" s="35">
        <v>18</v>
      </c>
      <c r="H243" s="37" t="s">
        <v>193</v>
      </c>
      <c r="I243" s="38">
        <v>2111</v>
      </c>
      <c r="J243" s="39"/>
      <c r="K243" s="40" t="s">
        <v>249</v>
      </c>
      <c r="L243" s="21">
        <v>2684</v>
      </c>
      <c r="M243" s="41"/>
      <c r="N243" s="42" t="s">
        <v>249</v>
      </c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</row>
    <row r="244" spans="1:27" ht="14.25" customHeight="1" x14ac:dyDescent="0.3">
      <c r="A244" s="27">
        <v>4241</v>
      </c>
      <c r="B244" s="53">
        <v>43208</v>
      </c>
      <c r="C244" s="27"/>
      <c r="D244" s="27" t="s">
        <v>250</v>
      </c>
      <c r="E244" s="27"/>
      <c r="F244" s="27"/>
      <c r="G244" s="27">
        <v>6</v>
      </c>
      <c r="H244" s="28" t="s">
        <v>251</v>
      </c>
      <c r="I244" s="29">
        <v>2513</v>
      </c>
      <c r="J244" s="30" t="s">
        <v>12</v>
      </c>
      <c r="K244" s="47"/>
      <c r="L244" s="45">
        <v>2496</v>
      </c>
      <c r="M244" s="48"/>
      <c r="N244" s="33" t="s">
        <v>250</v>
      </c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14.25" customHeight="1" x14ac:dyDescent="0.3">
      <c r="A245" s="35">
        <v>4242</v>
      </c>
      <c r="B245" s="36">
        <v>43208</v>
      </c>
      <c r="C245" s="35"/>
      <c r="D245" s="35" t="s">
        <v>237</v>
      </c>
      <c r="E245" s="35" t="s">
        <v>252</v>
      </c>
      <c r="F245" s="35"/>
      <c r="G245" s="35">
        <v>3</v>
      </c>
      <c r="H245" s="37" t="s">
        <v>251</v>
      </c>
      <c r="I245" s="38">
        <v>2400</v>
      </c>
      <c r="J245" s="39"/>
      <c r="K245" s="40" t="s">
        <v>253</v>
      </c>
      <c r="L245" s="21">
        <v>2061</v>
      </c>
      <c r="M245" s="41"/>
      <c r="N245" s="40" t="s">
        <v>253</v>
      </c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</row>
    <row r="246" spans="1:27" ht="14.25" customHeight="1" x14ac:dyDescent="0.3">
      <c r="A246" s="27">
        <v>4243</v>
      </c>
      <c r="B246" s="26">
        <v>43208</v>
      </c>
      <c r="C246" s="27"/>
      <c r="D246" s="27" t="s">
        <v>252</v>
      </c>
      <c r="E246" s="27"/>
      <c r="F246" s="27"/>
      <c r="G246" s="27">
        <v>2</v>
      </c>
      <c r="H246" s="28" t="s">
        <v>251</v>
      </c>
      <c r="I246" s="29">
        <v>2400</v>
      </c>
      <c r="J246" s="30"/>
      <c r="K246" s="47" t="s">
        <v>253</v>
      </c>
      <c r="L246" s="45">
        <v>2061</v>
      </c>
      <c r="M246" s="48"/>
      <c r="N246" s="47" t="s">
        <v>253</v>
      </c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14.25" customHeight="1" x14ac:dyDescent="0.3">
      <c r="A247" s="35">
        <v>4244</v>
      </c>
      <c r="B247" s="36">
        <v>43208</v>
      </c>
      <c r="C247" s="35"/>
      <c r="D247" s="35" t="s">
        <v>254</v>
      </c>
      <c r="E247" s="35"/>
      <c r="F247" s="35"/>
      <c r="G247" s="35">
        <v>6</v>
      </c>
      <c r="H247" s="37" t="s">
        <v>195</v>
      </c>
      <c r="I247" s="38">
        <v>2682</v>
      </c>
      <c r="J247" s="39"/>
      <c r="K247" s="40" t="s">
        <v>255</v>
      </c>
      <c r="L247" s="38">
        <v>2682</v>
      </c>
      <c r="M247" s="39"/>
      <c r="N247" s="40" t="s">
        <v>255</v>
      </c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</row>
    <row r="248" spans="1:27" ht="14.25" customHeight="1" x14ac:dyDescent="0.3">
      <c r="A248" s="27">
        <v>4245</v>
      </c>
      <c r="B248" s="26">
        <v>43208</v>
      </c>
      <c r="C248" s="27"/>
      <c r="D248" s="27" t="s">
        <v>192</v>
      </c>
      <c r="E248" s="27"/>
      <c r="F248" s="27"/>
      <c r="G248" s="27">
        <v>54</v>
      </c>
      <c r="H248" s="28" t="s">
        <v>251</v>
      </c>
      <c r="I248" s="29" t="s">
        <v>256</v>
      </c>
      <c r="J248" s="30" t="s">
        <v>257</v>
      </c>
      <c r="K248" s="47" t="s">
        <v>258</v>
      </c>
      <c r="L248" s="45" t="s">
        <v>259</v>
      </c>
      <c r="M248" s="30" t="s">
        <v>257</v>
      </c>
      <c r="N248" s="47" t="s">
        <v>260</v>
      </c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14.25" customHeight="1" x14ac:dyDescent="0.3">
      <c r="A249" s="35">
        <v>4246</v>
      </c>
      <c r="B249" s="36">
        <v>43208</v>
      </c>
      <c r="C249" s="35"/>
      <c r="D249" s="35" t="s">
        <v>192</v>
      </c>
      <c r="E249" s="35"/>
      <c r="F249" s="35"/>
      <c r="G249" s="35">
        <v>43</v>
      </c>
      <c r="H249" s="37" t="s">
        <v>251</v>
      </c>
      <c r="I249" s="38" t="s">
        <v>261</v>
      </c>
      <c r="J249" s="39" t="s">
        <v>257</v>
      </c>
      <c r="K249" s="40" t="s">
        <v>258</v>
      </c>
      <c r="L249" s="21">
        <v>2412</v>
      </c>
      <c r="M249" s="41"/>
      <c r="N249" s="42" t="s">
        <v>262</v>
      </c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</row>
    <row r="250" spans="1:27" ht="14.25" customHeight="1" x14ac:dyDescent="0.3">
      <c r="A250" s="27">
        <v>4247</v>
      </c>
      <c r="B250" s="26">
        <v>43208</v>
      </c>
      <c r="C250" s="27"/>
      <c r="D250" s="27" t="s">
        <v>192</v>
      </c>
      <c r="E250" s="27"/>
      <c r="F250" s="27"/>
      <c r="G250" s="27">
        <v>43</v>
      </c>
      <c r="H250" s="28" t="s">
        <v>251</v>
      </c>
      <c r="I250" s="29" t="s">
        <v>263</v>
      </c>
      <c r="J250" s="30" t="s">
        <v>264</v>
      </c>
      <c r="K250" s="47" t="s">
        <v>265</v>
      </c>
      <c r="L250" s="45" t="s">
        <v>266</v>
      </c>
      <c r="M250" s="48" t="s">
        <v>267</v>
      </c>
      <c r="N250" s="33" t="s">
        <v>268</v>
      </c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14.25" customHeight="1" x14ac:dyDescent="0.3">
      <c r="A251" s="35">
        <v>4248</v>
      </c>
      <c r="B251" s="36">
        <v>43208</v>
      </c>
      <c r="C251" s="35"/>
      <c r="D251" s="35" t="s">
        <v>171</v>
      </c>
      <c r="E251" s="35" t="s">
        <v>154</v>
      </c>
      <c r="F251" s="35"/>
      <c r="G251" s="35">
        <v>12</v>
      </c>
      <c r="H251" s="37" t="s">
        <v>165</v>
      </c>
      <c r="I251" s="38">
        <v>2784</v>
      </c>
      <c r="J251" s="39"/>
      <c r="K251" s="40" t="s">
        <v>171</v>
      </c>
      <c r="L251" s="21">
        <v>2912</v>
      </c>
      <c r="M251" s="41" t="s">
        <v>85</v>
      </c>
      <c r="N251" s="42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</row>
    <row r="252" spans="1:27" ht="14.25" customHeight="1" x14ac:dyDescent="0.3">
      <c r="A252" s="27">
        <v>4249</v>
      </c>
      <c r="B252" s="26">
        <v>43215</v>
      </c>
      <c r="C252" s="27" t="s">
        <v>160</v>
      </c>
      <c r="D252" s="27"/>
      <c r="E252" s="27"/>
      <c r="F252" s="27"/>
      <c r="G252" s="27">
        <v>12</v>
      </c>
      <c r="H252" s="28" t="s">
        <v>13</v>
      </c>
      <c r="I252" s="29">
        <v>3002</v>
      </c>
      <c r="J252" s="27" t="s">
        <v>14</v>
      </c>
      <c r="K252" s="47"/>
      <c r="L252" s="45">
        <v>3002</v>
      </c>
      <c r="M252" s="27" t="s">
        <v>14</v>
      </c>
      <c r="N252" s="33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14.25" customHeight="1" x14ac:dyDescent="0.3">
      <c r="A253" s="35">
        <v>4250</v>
      </c>
      <c r="B253" s="36">
        <v>43215</v>
      </c>
      <c r="C253" s="35"/>
      <c r="D253" s="35" t="s">
        <v>269</v>
      </c>
      <c r="E253" s="35"/>
      <c r="F253" s="35"/>
      <c r="G253" s="35">
        <v>5</v>
      </c>
      <c r="H253" s="37" t="s">
        <v>140</v>
      </c>
      <c r="I253" s="38">
        <v>2911</v>
      </c>
      <c r="J253" s="39" t="s">
        <v>85</v>
      </c>
      <c r="K253" s="40"/>
      <c r="L253" s="21">
        <v>2730</v>
      </c>
      <c r="M253" s="41"/>
      <c r="N253" s="42" t="s">
        <v>139</v>
      </c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</row>
    <row r="254" spans="1:27" ht="14.25" customHeight="1" x14ac:dyDescent="0.3">
      <c r="A254" s="27">
        <v>4251</v>
      </c>
      <c r="B254" s="26">
        <v>43215</v>
      </c>
      <c r="C254" s="27" t="s">
        <v>213</v>
      </c>
      <c r="D254" s="27" t="s">
        <v>121</v>
      </c>
      <c r="E254" s="27"/>
      <c r="F254" s="27"/>
      <c r="G254" s="27">
        <v>30</v>
      </c>
      <c r="H254" s="28" t="s">
        <v>114</v>
      </c>
      <c r="I254" s="29">
        <v>2126</v>
      </c>
      <c r="J254" s="30" t="s">
        <v>214</v>
      </c>
      <c r="K254" s="47" t="s">
        <v>121</v>
      </c>
      <c r="L254" s="45">
        <v>2588</v>
      </c>
      <c r="M254" s="48" t="s">
        <v>85</v>
      </c>
      <c r="N254" s="33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14.25" customHeight="1" x14ac:dyDescent="0.3">
      <c r="A255" s="35">
        <v>4252</v>
      </c>
      <c r="B255" s="36">
        <v>43215</v>
      </c>
      <c r="C255" s="35"/>
      <c r="D255" s="35" t="s">
        <v>211</v>
      </c>
      <c r="E255" s="35"/>
      <c r="F255" s="35"/>
      <c r="G255" s="35">
        <v>15</v>
      </c>
      <c r="H255" s="37" t="s">
        <v>114</v>
      </c>
      <c r="I255" s="38">
        <v>2588</v>
      </c>
      <c r="J255" s="39" t="s">
        <v>85</v>
      </c>
      <c r="K255" s="40"/>
      <c r="L255" s="21">
        <v>3140</v>
      </c>
      <c r="M255" s="41" t="s">
        <v>211</v>
      </c>
      <c r="N255" s="42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</row>
    <row r="256" spans="1:27" ht="14.25" customHeight="1" x14ac:dyDescent="0.3">
      <c r="A256" s="27">
        <v>4253</v>
      </c>
      <c r="B256" s="26">
        <v>43215</v>
      </c>
      <c r="C256" s="27" t="s">
        <v>12</v>
      </c>
      <c r="D256" s="27"/>
      <c r="E256" s="27"/>
      <c r="F256" s="27"/>
      <c r="G256" s="27">
        <v>150</v>
      </c>
      <c r="H256" s="28" t="s">
        <v>114</v>
      </c>
      <c r="I256" s="29">
        <v>3045</v>
      </c>
      <c r="J256" s="30" t="s">
        <v>12</v>
      </c>
      <c r="K256" s="47"/>
      <c r="L256" s="45">
        <v>3045</v>
      </c>
      <c r="M256" s="48" t="s">
        <v>12</v>
      </c>
      <c r="N256" s="33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14.25" customHeight="1" x14ac:dyDescent="0.3">
      <c r="A257" s="35">
        <v>4254</v>
      </c>
      <c r="B257" s="36">
        <v>43215</v>
      </c>
      <c r="C257" s="35"/>
      <c r="D257" s="35" t="s">
        <v>128</v>
      </c>
      <c r="E257" s="35"/>
      <c r="F257" s="35"/>
      <c r="G257" s="35">
        <v>150</v>
      </c>
      <c r="H257" s="37" t="s">
        <v>114</v>
      </c>
      <c r="I257" s="38">
        <v>2587</v>
      </c>
      <c r="J257" s="39"/>
      <c r="K257" s="40" t="s">
        <v>128</v>
      </c>
      <c r="L257" s="21">
        <v>2587</v>
      </c>
      <c r="M257" s="41" t="s">
        <v>128</v>
      </c>
      <c r="N257" s="42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</row>
    <row r="258" spans="1:27" ht="14.25" customHeight="1" x14ac:dyDescent="0.3">
      <c r="A258" s="27">
        <v>4255</v>
      </c>
      <c r="B258" s="26">
        <v>43215</v>
      </c>
      <c r="C258" s="27"/>
      <c r="D258" s="27" t="s">
        <v>270</v>
      </c>
      <c r="E258" s="27"/>
      <c r="F258" s="27"/>
      <c r="G258" s="27">
        <v>40</v>
      </c>
      <c r="H258" s="28" t="s">
        <v>50</v>
      </c>
      <c r="I258" s="29">
        <v>2691</v>
      </c>
      <c r="J258" s="30"/>
      <c r="K258" s="27" t="s">
        <v>270</v>
      </c>
      <c r="L258" s="45">
        <v>2691</v>
      </c>
      <c r="M258" s="48"/>
      <c r="N258" s="27" t="s">
        <v>270</v>
      </c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14.25" customHeight="1" x14ac:dyDescent="0.3">
      <c r="A259" s="35">
        <v>4256</v>
      </c>
      <c r="B259" s="36">
        <v>43215</v>
      </c>
      <c r="C259" s="35"/>
      <c r="D259" s="35" t="s">
        <v>271</v>
      </c>
      <c r="E259" s="35"/>
      <c r="F259" s="35"/>
      <c r="G259" s="35">
        <v>25</v>
      </c>
      <c r="H259" s="37" t="s">
        <v>50</v>
      </c>
      <c r="I259" s="38">
        <v>2891</v>
      </c>
      <c r="J259" s="39" t="s">
        <v>12</v>
      </c>
      <c r="K259" s="40"/>
      <c r="L259" s="21">
        <v>3052</v>
      </c>
      <c r="M259" s="41"/>
      <c r="N259" s="35" t="s">
        <v>271</v>
      </c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</row>
    <row r="260" spans="1:27" ht="14.25" customHeight="1" x14ac:dyDescent="0.3">
      <c r="A260" s="27">
        <v>4257</v>
      </c>
      <c r="B260" s="26">
        <v>43215</v>
      </c>
      <c r="C260" s="27"/>
      <c r="D260" s="27" t="s">
        <v>272</v>
      </c>
      <c r="E260" s="27"/>
      <c r="F260" s="27"/>
      <c r="G260" s="27">
        <v>10</v>
      </c>
      <c r="H260" s="28" t="s">
        <v>50</v>
      </c>
      <c r="I260" s="29">
        <v>3124</v>
      </c>
      <c r="J260" s="30"/>
      <c r="K260" s="27" t="s">
        <v>273</v>
      </c>
      <c r="L260" s="29">
        <v>2891</v>
      </c>
      <c r="M260" s="30" t="s">
        <v>12</v>
      </c>
      <c r="N260" s="33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14.25" customHeight="1" x14ac:dyDescent="0.3">
      <c r="A261" s="35">
        <v>4258</v>
      </c>
      <c r="B261" s="36">
        <v>43215</v>
      </c>
      <c r="C261" s="35" t="s">
        <v>274</v>
      </c>
      <c r="D261" s="49" t="s">
        <v>275</v>
      </c>
      <c r="E261" s="35" t="s">
        <v>276</v>
      </c>
      <c r="F261" s="35"/>
      <c r="G261" s="35">
        <v>60</v>
      </c>
      <c r="H261" s="37" t="s">
        <v>50</v>
      </c>
      <c r="I261" s="38">
        <v>2891</v>
      </c>
      <c r="J261" s="39" t="s">
        <v>12</v>
      </c>
      <c r="K261" s="40"/>
      <c r="L261" s="21">
        <v>2830</v>
      </c>
      <c r="M261" s="41" t="s">
        <v>277</v>
      </c>
      <c r="N261" s="42" t="s">
        <v>275</v>
      </c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</row>
    <row r="262" spans="1:27" ht="14.25" customHeight="1" x14ac:dyDescent="0.3">
      <c r="A262" s="27">
        <v>4259</v>
      </c>
      <c r="B262" s="26">
        <v>43215</v>
      </c>
      <c r="C262" s="27" t="s">
        <v>278</v>
      </c>
      <c r="D262" s="27" t="s">
        <v>279</v>
      </c>
      <c r="E262" s="27" t="s">
        <v>276</v>
      </c>
      <c r="F262" s="27"/>
      <c r="G262" s="27">
        <v>50</v>
      </c>
      <c r="H262" s="28" t="s">
        <v>50</v>
      </c>
      <c r="I262" s="29">
        <v>2462</v>
      </c>
      <c r="J262" s="30"/>
      <c r="K262" s="27" t="s">
        <v>279</v>
      </c>
      <c r="L262" s="45">
        <v>2440</v>
      </c>
      <c r="M262" s="48" t="s">
        <v>280</v>
      </c>
      <c r="N262" s="33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14.25" customHeight="1" x14ac:dyDescent="0.3">
      <c r="A263" s="35">
        <v>4260</v>
      </c>
      <c r="B263" s="36">
        <v>43215</v>
      </c>
      <c r="C263" s="35" t="s">
        <v>281</v>
      </c>
      <c r="D263" s="35"/>
      <c r="E263" s="35"/>
      <c r="F263" s="35"/>
      <c r="G263" s="35">
        <v>100</v>
      </c>
      <c r="H263" s="37" t="s">
        <v>50</v>
      </c>
      <c r="I263" s="38">
        <v>2891</v>
      </c>
      <c r="J263" s="39" t="s">
        <v>12</v>
      </c>
      <c r="K263" s="40"/>
      <c r="L263" s="21">
        <v>2670</v>
      </c>
      <c r="M263" s="35" t="s">
        <v>282</v>
      </c>
      <c r="N263" s="42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</row>
    <row r="264" spans="1:27" ht="14.25" customHeight="1" x14ac:dyDescent="0.3">
      <c r="A264" s="27">
        <v>4261</v>
      </c>
      <c r="B264" s="26">
        <v>43215</v>
      </c>
      <c r="C264" s="27" t="s">
        <v>281</v>
      </c>
      <c r="D264" s="27" t="s">
        <v>272</v>
      </c>
      <c r="E264" s="27"/>
      <c r="F264" s="27"/>
      <c r="G264" s="27">
        <v>50</v>
      </c>
      <c r="H264" s="28" t="s">
        <v>50</v>
      </c>
      <c r="I264" s="29">
        <v>2976</v>
      </c>
      <c r="J264" s="27" t="s">
        <v>282</v>
      </c>
      <c r="K264" s="47"/>
      <c r="L264" s="45">
        <v>2891</v>
      </c>
      <c r="M264" s="48" t="s">
        <v>12</v>
      </c>
      <c r="N264" s="33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14.25" customHeight="1" x14ac:dyDescent="0.3">
      <c r="A265" s="35">
        <v>4262</v>
      </c>
      <c r="B265" s="36">
        <v>43215</v>
      </c>
      <c r="C265" s="35"/>
      <c r="D265" s="35" t="s">
        <v>283</v>
      </c>
      <c r="E265" s="35"/>
      <c r="F265" s="35"/>
      <c r="G265" s="35">
        <v>17</v>
      </c>
      <c r="H265" s="37" t="s">
        <v>234</v>
      </c>
      <c r="I265" s="38">
        <v>2878</v>
      </c>
      <c r="J265" s="39"/>
      <c r="K265" s="40" t="s">
        <v>283</v>
      </c>
      <c r="L265" s="21">
        <v>2878</v>
      </c>
      <c r="M265" s="41"/>
      <c r="N265" s="40" t="s">
        <v>283</v>
      </c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</row>
    <row r="266" spans="1:27" ht="14.25" customHeight="1" x14ac:dyDescent="0.3">
      <c r="A266" s="27">
        <v>4263</v>
      </c>
      <c r="B266" s="26">
        <v>43215</v>
      </c>
      <c r="C266" s="27" t="s">
        <v>284</v>
      </c>
      <c r="D266" s="50" t="s">
        <v>275</v>
      </c>
      <c r="E266" s="27" t="s">
        <v>20</v>
      </c>
      <c r="F266" s="27" t="s">
        <v>276</v>
      </c>
      <c r="G266" s="27">
        <v>50</v>
      </c>
      <c r="H266" s="28" t="s">
        <v>50</v>
      </c>
      <c r="I266" s="29">
        <v>2884</v>
      </c>
      <c r="J266" s="27" t="s">
        <v>284</v>
      </c>
      <c r="K266" s="50" t="s">
        <v>285</v>
      </c>
      <c r="L266" s="45">
        <v>2666</v>
      </c>
      <c r="M266" s="48" t="s">
        <v>12</v>
      </c>
      <c r="N266" s="33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14.25" customHeight="1" x14ac:dyDescent="0.3">
      <c r="A267" s="35">
        <v>4264</v>
      </c>
      <c r="B267" s="36">
        <v>43215</v>
      </c>
      <c r="C267" s="35" t="s">
        <v>286</v>
      </c>
      <c r="D267" s="35" t="s">
        <v>287</v>
      </c>
      <c r="E267" s="35"/>
      <c r="F267" s="35"/>
      <c r="G267" s="35">
        <v>45</v>
      </c>
      <c r="H267" s="37" t="s">
        <v>50</v>
      </c>
      <c r="I267" s="38">
        <v>2743</v>
      </c>
      <c r="J267" s="39" t="s">
        <v>288</v>
      </c>
      <c r="K267" s="40" t="s">
        <v>287</v>
      </c>
      <c r="L267" s="21">
        <v>2891</v>
      </c>
      <c r="M267" s="41" t="s">
        <v>12</v>
      </c>
      <c r="N267" s="42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</row>
    <row r="268" spans="1:27" ht="14.25" customHeight="1" x14ac:dyDescent="0.3">
      <c r="A268" s="27">
        <v>4265</v>
      </c>
      <c r="B268" s="26">
        <v>43215</v>
      </c>
      <c r="C268" s="27" t="s">
        <v>286</v>
      </c>
      <c r="D268" s="27"/>
      <c r="E268" s="27"/>
      <c r="F268" s="27"/>
      <c r="G268" s="27">
        <v>75</v>
      </c>
      <c r="H268" s="28" t="s">
        <v>50</v>
      </c>
      <c r="I268" s="29">
        <v>2743</v>
      </c>
      <c r="J268" s="30" t="s">
        <v>288</v>
      </c>
      <c r="K268" s="47" t="s">
        <v>287</v>
      </c>
      <c r="L268" s="45">
        <v>2891</v>
      </c>
      <c r="M268" s="48" t="s">
        <v>12</v>
      </c>
      <c r="N268" s="33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14.25" customHeight="1" x14ac:dyDescent="0.3">
      <c r="A269" s="35">
        <v>4266</v>
      </c>
      <c r="B269" s="36">
        <v>43215</v>
      </c>
      <c r="C269" s="35" t="s">
        <v>274</v>
      </c>
      <c r="D269" s="35" t="s">
        <v>279</v>
      </c>
      <c r="E269" s="35" t="s">
        <v>276</v>
      </c>
      <c r="F269" s="35"/>
      <c r="G269" s="35">
        <v>80</v>
      </c>
      <c r="H269" s="37" t="s">
        <v>50</v>
      </c>
      <c r="I269" s="38">
        <v>2891</v>
      </c>
      <c r="J269" s="39" t="s">
        <v>12</v>
      </c>
      <c r="K269" s="40"/>
      <c r="L269" s="21">
        <v>2830</v>
      </c>
      <c r="M269" s="41" t="s">
        <v>289</v>
      </c>
      <c r="N269" s="35" t="s">
        <v>279</v>
      </c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</row>
    <row r="270" spans="1:27" ht="14.25" customHeight="1" x14ac:dyDescent="0.3">
      <c r="A270" s="27">
        <v>4267</v>
      </c>
      <c r="B270" s="26">
        <v>43215</v>
      </c>
      <c r="C270" s="27" t="s">
        <v>290</v>
      </c>
      <c r="D270" s="27"/>
      <c r="E270" s="27"/>
      <c r="F270" s="27"/>
      <c r="G270" s="27">
        <v>53</v>
      </c>
      <c r="H270" s="28" t="s">
        <v>16</v>
      </c>
      <c r="I270" s="29">
        <v>3082</v>
      </c>
      <c r="J270" s="30" t="s">
        <v>291</v>
      </c>
      <c r="K270" s="47" t="s">
        <v>15</v>
      </c>
      <c r="L270" s="45">
        <v>2965</v>
      </c>
      <c r="M270" s="48" t="s">
        <v>12</v>
      </c>
      <c r="N270" s="33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14.25" customHeight="1" x14ac:dyDescent="0.3">
      <c r="A271" s="35">
        <v>4268</v>
      </c>
      <c r="B271" s="36">
        <v>43215</v>
      </c>
      <c r="C271" s="35" t="s">
        <v>290</v>
      </c>
      <c r="D271" s="35" t="s">
        <v>15</v>
      </c>
      <c r="E271" s="35"/>
      <c r="F271" s="35"/>
      <c r="G271" s="35">
        <v>46</v>
      </c>
      <c r="H271" s="37" t="s">
        <v>16</v>
      </c>
      <c r="I271" s="38">
        <v>3082</v>
      </c>
      <c r="J271" s="39" t="s">
        <v>291</v>
      </c>
      <c r="K271" s="40" t="s">
        <v>15</v>
      </c>
      <c r="L271" s="21">
        <v>2965</v>
      </c>
      <c r="M271" s="41" t="s">
        <v>12</v>
      </c>
      <c r="N271" s="42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</row>
    <row r="272" spans="1:27" ht="14.25" customHeight="1" x14ac:dyDescent="0.3">
      <c r="A272" s="27">
        <v>4269</v>
      </c>
      <c r="B272" s="26">
        <v>43215</v>
      </c>
      <c r="C272" s="27" t="s">
        <v>292</v>
      </c>
      <c r="D272" s="27"/>
      <c r="E272" s="27"/>
      <c r="F272" s="27"/>
      <c r="G272" s="27">
        <v>51</v>
      </c>
      <c r="H272" s="28" t="s">
        <v>16</v>
      </c>
      <c r="I272" s="29">
        <v>2957</v>
      </c>
      <c r="J272" s="30" t="s">
        <v>293</v>
      </c>
      <c r="K272" s="47"/>
      <c r="L272" s="45">
        <v>2965</v>
      </c>
      <c r="M272" s="48" t="s">
        <v>12</v>
      </c>
      <c r="N272" s="33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14.25" customHeight="1" x14ac:dyDescent="0.3">
      <c r="A273" s="35">
        <v>4270</v>
      </c>
      <c r="B273" s="36">
        <v>43215</v>
      </c>
      <c r="C273" s="35"/>
      <c r="D273" s="35" t="s">
        <v>24</v>
      </c>
      <c r="E273" s="35"/>
      <c r="F273" s="35"/>
      <c r="G273" s="35">
        <v>33</v>
      </c>
      <c r="H273" s="37" t="s">
        <v>178</v>
      </c>
      <c r="I273" s="38">
        <v>2965</v>
      </c>
      <c r="J273" s="39" t="s">
        <v>12</v>
      </c>
      <c r="K273" s="40"/>
      <c r="L273" s="21">
        <v>2178</v>
      </c>
      <c r="N273" s="41" t="s">
        <v>24</v>
      </c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</row>
    <row r="274" spans="1:27" ht="14.25" customHeight="1" x14ac:dyDescent="0.3">
      <c r="A274" s="27">
        <v>4271</v>
      </c>
      <c r="B274" s="26">
        <v>43215</v>
      </c>
      <c r="C274" s="27"/>
      <c r="D274" s="27" t="s">
        <v>294</v>
      </c>
      <c r="E274" s="27"/>
      <c r="F274" s="27"/>
      <c r="G274" s="27">
        <v>26</v>
      </c>
      <c r="H274" s="28" t="s">
        <v>178</v>
      </c>
      <c r="I274" s="29">
        <v>2176</v>
      </c>
      <c r="J274" s="27"/>
      <c r="K274" s="27" t="s">
        <v>294</v>
      </c>
      <c r="L274" s="45">
        <v>2965</v>
      </c>
      <c r="M274" s="48" t="s">
        <v>12</v>
      </c>
      <c r="N274" s="33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14.25" customHeight="1" x14ac:dyDescent="0.3">
      <c r="A275" s="35">
        <v>4272</v>
      </c>
      <c r="B275" s="36">
        <v>43215</v>
      </c>
      <c r="C275" s="35"/>
      <c r="D275" s="35" t="s">
        <v>94</v>
      </c>
      <c r="E275" s="35" t="s">
        <v>219</v>
      </c>
      <c r="F275" s="35"/>
      <c r="G275" s="35">
        <v>5</v>
      </c>
      <c r="H275" s="37" t="s">
        <v>33</v>
      </c>
      <c r="I275" s="38">
        <v>2698</v>
      </c>
      <c r="K275" s="35" t="s">
        <v>295</v>
      </c>
      <c r="L275" s="21">
        <v>2782</v>
      </c>
      <c r="M275" s="41"/>
      <c r="N275" s="35" t="s">
        <v>296</v>
      </c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</row>
    <row r="276" spans="1:27" ht="14.25" customHeight="1" x14ac:dyDescent="0.3">
      <c r="A276" s="27">
        <v>4273</v>
      </c>
      <c r="B276" s="26">
        <v>43215</v>
      </c>
      <c r="C276" s="27"/>
      <c r="D276" s="27" t="s">
        <v>94</v>
      </c>
      <c r="E276" s="27" t="s">
        <v>219</v>
      </c>
      <c r="F276" s="27" t="s">
        <v>95</v>
      </c>
      <c r="G276" s="27">
        <v>8</v>
      </c>
      <c r="H276" s="28" t="s">
        <v>33</v>
      </c>
      <c r="I276" s="29">
        <v>2698</v>
      </c>
      <c r="J276" s="30"/>
      <c r="K276" s="27" t="s">
        <v>295</v>
      </c>
      <c r="L276" s="45">
        <v>2782</v>
      </c>
      <c r="M276" s="48"/>
      <c r="N276" s="27" t="s">
        <v>296</v>
      </c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14.25" customHeight="1" x14ac:dyDescent="0.3">
      <c r="A277" s="35">
        <v>4274</v>
      </c>
      <c r="B277" s="36">
        <v>43215</v>
      </c>
      <c r="C277" s="35"/>
      <c r="D277" s="35" t="s">
        <v>31</v>
      </c>
      <c r="E277" s="35"/>
      <c r="F277" s="35"/>
      <c r="G277" s="35">
        <v>28</v>
      </c>
      <c r="H277" s="37" t="s">
        <v>33</v>
      </c>
      <c r="I277" s="38">
        <v>3037</v>
      </c>
      <c r="J277" s="39" t="s">
        <v>85</v>
      </c>
      <c r="K277" s="40"/>
      <c r="L277" s="21">
        <v>2363</v>
      </c>
      <c r="M277" s="41"/>
      <c r="N277" s="35" t="s">
        <v>31</v>
      </c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</row>
    <row r="278" spans="1:27" ht="14.25" customHeight="1" x14ac:dyDescent="0.3">
      <c r="A278" s="27">
        <v>4275</v>
      </c>
      <c r="B278" s="26">
        <v>43215</v>
      </c>
      <c r="C278" s="27"/>
      <c r="D278" s="27" t="s">
        <v>25</v>
      </c>
      <c r="E278" s="27" t="s">
        <v>26</v>
      </c>
      <c r="F278" s="27"/>
      <c r="G278" s="27">
        <v>42</v>
      </c>
      <c r="H278" s="28" t="s">
        <v>172</v>
      </c>
      <c r="I278" s="29">
        <v>2895</v>
      </c>
      <c r="J278" s="30" t="s">
        <v>85</v>
      </c>
      <c r="K278" s="47"/>
      <c r="L278" s="45">
        <v>2729</v>
      </c>
      <c r="M278" s="48"/>
      <c r="N278" s="27" t="s">
        <v>28</v>
      </c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14.25" customHeight="1" x14ac:dyDescent="0.3">
      <c r="A279" s="35">
        <v>4276</v>
      </c>
      <c r="B279" s="36">
        <v>43215</v>
      </c>
      <c r="C279" s="35"/>
      <c r="D279" s="35" t="s">
        <v>91</v>
      </c>
      <c r="E279" s="35"/>
      <c r="F279" s="35"/>
      <c r="G279" s="35">
        <v>8</v>
      </c>
      <c r="H279" s="37" t="s">
        <v>33</v>
      </c>
      <c r="I279" s="38">
        <v>2576</v>
      </c>
      <c r="J279" s="39"/>
      <c r="K279" s="35" t="s">
        <v>297</v>
      </c>
      <c r="L279" s="21">
        <v>2895</v>
      </c>
      <c r="M279" s="41" t="s">
        <v>85</v>
      </c>
      <c r="N279" s="42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</row>
    <row r="280" spans="1:27" ht="14.25" customHeight="1" x14ac:dyDescent="0.3">
      <c r="A280" s="27">
        <v>4277</v>
      </c>
      <c r="B280" s="26">
        <v>43215</v>
      </c>
      <c r="C280" s="27"/>
      <c r="D280" s="27" t="s">
        <v>224</v>
      </c>
      <c r="E280" s="27"/>
      <c r="F280" s="27"/>
      <c r="G280" s="27">
        <v>23</v>
      </c>
      <c r="H280" s="28" t="s">
        <v>33</v>
      </c>
      <c r="I280" s="29">
        <v>2895</v>
      </c>
      <c r="J280" s="30" t="s">
        <v>85</v>
      </c>
      <c r="K280" s="47"/>
      <c r="L280" s="45">
        <v>3051</v>
      </c>
      <c r="M280" s="48"/>
      <c r="N280" s="27" t="s">
        <v>224</v>
      </c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14.25" customHeight="1" x14ac:dyDescent="0.3">
      <c r="A281" s="35">
        <v>4278</v>
      </c>
      <c r="B281" s="36">
        <v>43215</v>
      </c>
      <c r="C281" s="35"/>
      <c r="D281" s="35" t="s">
        <v>94</v>
      </c>
      <c r="E281" s="35" t="s">
        <v>95</v>
      </c>
      <c r="F281" s="35"/>
      <c r="G281" s="35">
        <v>22</v>
      </c>
      <c r="H281" s="37" t="s">
        <v>172</v>
      </c>
      <c r="I281" s="38">
        <v>2698</v>
      </c>
      <c r="J281" s="39"/>
      <c r="K281" s="35" t="s">
        <v>295</v>
      </c>
      <c r="L281" s="21">
        <v>2782</v>
      </c>
      <c r="M281" s="41"/>
      <c r="N281" s="35" t="s">
        <v>296</v>
      </c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</row>
    <row r="282" spans="1:27" ht="14.25" customHeight="1" x14ac:dyDescent="0.3">
      <c r="A282" s="27">
        <v>4279</v>
      </c>
      <c r="B282" s="26">
        <v>43215</v>
      </c>
      <c r="C282" s="27"/>
      <c r="D282" s="27" t="s">
        <v>94</v>
      </c>
      <c r="E282" s="27"/>
      <c r="F282" s="27"/>
      <c r="G282" s="27">
        <v>7</v>
      </c>
      <c r="H282" s="28" t="s">
        <v>33</v>
      </c>
      <c r="I282" s="29">
        <v>2698</v>
      </c>
      <c r="J282" s="30"/>
      <c r="K282" s="27" t="s">
        <v>295</v>
      </c>
      <c r="L282" s="45">
        <v>2782</v>
      </c>
      <c r="M282" s="48"/>
      <c r="N282" s="27" t="s">
        <v>296</v>
      </c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14.25" customHeight="1" x14ac:dyDescent="0.3">
      <c r="A283" s="35">
        <v>4280</v>
      </c>
      <c r="B283" s="36">
        <v>43215</v>
      </c>
      <c r="C283" s="35"/>
      <c r="D283" s="35" t="s">
        <v>84</v>
      </c>
      <c r="E283" s="35"/>
      <c r="F283" s="35"/>
      <c r="G283" s="35">
        <v>25</v>
      </c>
      <c r="H283" s="37" t="s">
        <v>172</v>
      </c>
      <c r="I283" s="38">
        <v>2412</v>
      </c>
      <c r="J283" s="39"/>
      <c r="K283" s="40" t="s">
        <v>84</v>
      </c>
      <c r="L283" s="21">
        <v>2895</v>
      </c>
      <c r="M283" s="41" t="s">
        <v>85</v>
      </c>
      <c r="N283" s="42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</row>
    <row r="284" spans="1:27" ht="14.25" customHeight="1" x14ac:dyDescent="0.3">
      <c r="A284" s="27">
        <v>4281</v>
      </c>
      <c r="B284" s="26">
        <v>43215</v>
      </c>
      <c r="C284" s="27"/>
      <c r="D284" s="27" t="s">
        <v>32</v>
      </c>
      <c r="E284" s="27"/>
      <c r="F284" s="27"/>
      <c r="G284" s="27">
        <v>55</v>
      </c>
      <c r="H284" s="28" t="s">
        <v>172</v>
      </c>
      <c r="I284" s="29">
        <v>3037</v>
      </c>
      <c r="J284" s="30" t="s">
        <v>85</v>
      </c>
      <c r="K284" s="47"/>
      <c r="L284" s="45">
        <v>2073</v>
      </c>
      <c r="M284" s="48"/>
      <c r="N284" s="27" t="s">
        <v>32</v>
      </c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14.25" customHeight="1" x14ac:dyDescent="0.3">
      <c r="A285" s="35">
        <v>4282</v>
      </c>
      <c r="B285" s="36">
        <v>43215</v>
      </c>
      <c r="C285" s="35"/>
      <c r="D285" s="35" t="s">
        <v>174</v>
      </c>
      <c r="E285" s="35"/>
      <c r="F285" s="35"/>
      <c r="G285" s="35">
        <v>33</v>
      </c>
      <c r="H285" s="37" t="s">
        <v>172</v>
      </c>
      <c r="I285" s="38">
        <v>2800</v>
      </c>
      <c r="J285" s="39"/>
      <c r="K285" s="35" t="s">
        <v>174</v>
      </c>
      <c r="L285" s="21">
        <v>2895</v>
      </c>
      <c r="M285" s="41" t="s">
        <v>85</v>
      </c>
      <c r="N285" s="42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</row>
    <row r="286" spans="1:27" ht="14.25" customHeight="1" x14ac:dyDescent="0.3">
      <c r="A286" s="27">
        <v>4283</v>
      </c>
      <c r="B286" s="26">
        <v>43215</v>
      </c>
      <c r="C286" s="27"/>
      <c r="D286" s="27" t="s">
        <v>173</v>
      </c>
      <c r="E286" s="27"/>
      <c r="F286" s="27"/>
      <c r="G286" s="27">
        <v>40</v>
      </c>
      <c r="H286" s="28" t="s">
        <v>172</v>
      </c>
      <c r="I286" s="29">
        <v>2800</v>
      </c>
      <c r="J286" s="30"/>
      <c r="K286" s="27" t="s">
        <v>173</v>
      </c>
      <c r="L286" s="45">
        <v>2895</v>
      </c>
      <c r="M286" s="48" t="s">
        <v>85</v>
      </c>
      <c r="N286" s="33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14.25" customHeight="1" x14ac:dyDescent="0.3">
      <c r="A287" s="35">
        <v>4384</v>
      </c>
      <c r="B287" s="36">
        <v>43215</v>
      </c>
      <c r="C287" s="35"/>
      <c r="D287" s="35" t="s">
        <v>250</v>
      </c>
      <c r="E287" s="35"/>
      <c r="F287" s="35"/>
      <c r="G287" s="35">
        <v>60</v>
      </c>
      <c r="H287" s="37" t="s">
        <v>251</v>
      </c>
      <c r="I287" s="38">
        <v>2447</v>
      </c>
      <c r="J287" s="39"/>
      <c r="K287" s="40" t="s">
        <v>250</v>
      </c>
      <c r="L287" s="21">
        <v>2513</v>
      </c>
      <c r="M287" s="41" t="s">
        <v>12</v>
      </c>
      <c r="N287" s="42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</row>
    <row r="288" spans="1:27" ht="14.25" customHeight="1" x14ac:dyDescent="0.3">
      <c r="A288" s="27">
        <v>4385</v>
      </c>
      <c r="B288" s="26">
        <v>43215</v>
      </c>
      <c r="C288" s="27"/>
      <c r="D288" s="27" t="s">
        <v>250</v>
      </c>
      <c r="E288" s="27"/>
      <c r="F288" s="27"/>
      <c r="G288" s="27">
        <v>55</v>
      </c>
      <c r="H288" s="28" t="s">
        <v>251</v>
      </c>
      <c r="I288" s="29">
        <v>2447</v>
      </c>
      <c r="J288" s="30"/>
      <c r="K288" s="47" t="s">
        <v>250</v>
      </c>
      <c r="L288" s="45">
        <v>2513</v>
      </c>
      <c r="M288" s="48" t="s">
        <v>12</v>
      </c>
      <c r="N288" s="33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14.25" customHeight="1" x14ac:dyDescent="0.3">
      <c r="A289" s="25">
        <v>4386</v>
      </c>
      <c r="B289" s="36">
        <v>43215</v>
      </c>
      <c r="C289" s="35"/>
      <c r="D289" s="35" t="s">
        <v>250</v>
      </c>
      <c r="E289" s="35"/>
      <c r="F289" s="35"/>
      <c r="G289" s="35">
        <v>55</v>
      </c>
      <c r="H289" s="37" t="s">
        <v>251</v>
      </c>
      <c r="I289" s="38">
        <v>2447</v>
      </c>
      <c r="J289" s="39"/>
      <c r="K289" s="40" t="s">
        <v>250</v>
      </c>
      <c r="L289" s="21">
        <v>2513</v>
      </c>
      <c r="M289" s="41" t="s">
        <v>12</v>
      </c>
      <c r="N289" s="42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</row>
    <row r="290" spans="1:27" ht="14.25" customHeight="1" x14ac:dyDescent="0.3">
      <c r="A290" s="27">
        <v>4387</v>
      </c>
      <c r="B290" s="26">
        <v>43215</v>
      </c>
      <c r="C290" s="27"/>
      <c r="D290" s="27" t="s">
        <v>200</v>
      </c>
      <c r="E290" s="27"/>
      <c r="F290" s="27"/>
      <c r="G290" s="27">
        <v>37</v>
      </c>
      <c r="H290" s="28" t="s">
        <v>298</v>
      </c>
      <c r="I290" s="29" t="s">
        <v>299</v>
      </c>
      <c r="J290" s="30" t="s">
        <v>300</v>
      </c>
      <c r="K290" s="47" t="s">
        <v>246</v>
      </c>
      <c r="L290" s="45" t="s">
        <v>301</v>
      </c>
      <c r="M290" s="48" t="s">
        <v>300</v>
      </c>
      <c r="N290" s="33" t="s">
        <v>248</v>
      </c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14.25" customHeight="1" x14ac:dyDescent="0.3">
      <c r="A291" s="35">
        <v>4388</v>
      </c>
      <c r="B291" s="36">
        <v>43215</v>
      </c>
      <c r="C291" s="35"/>
      <c r="D291" s="35" t="s">
        <v>75</v>
      </c>
      <c r="E291" s="35"/>
      <c r="F291" s="35"/>
      <c r="G291" s="35">
        <v>83</v>
      </c>
      <c r="H291" s="37" t="s">
        <v>298</v>
      </c>
      <c r="I291" s="38" t="s">
        <v>302</v>
      </c>
      <c r="J291" s="39" t="s">
        <v>300</v>
      </c>
      <c r="K291" s="40" t="s">
        <v>303</v>
      </c>
      <c r="L291" s="21" t="s">
        <v>304</v>
      </c>
      <c r="M291" s="41" t="s">
        <v>300</v>
      </c>
      <c r="N291" s="42" t="s">
        <v>305</v>
      </c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</row>
    <row r="292" spans="1:27" ht="14.25" customHeight="1" x14ac:dyDescent="0.3">
      <c r="A292" s="27">
        <v>4389</v>
      </c>
      <c r="B292" s="26">
        <v>43215</v>
      </c>
      <c r="C292" s="27"/>
      <c r="D292" s="27" t="s">
        <v>75</v>
      </c>
      <c r="E292" s="27"/>
      <c r="F292" s="27"/>
      <c r="G292" s="27">
        <v>49</v>
      </c>
      <c r="H292" s="28" t="s">
        <v>298</v>
      </c>
      <c r="I292" s="29">
        <v>2960</v>
      </c>
      <c r="J292" s="30" t="s">
        <v>12</v>
      </c>
      <c r="K292" s="47"/>
      <c r="L292" s="45">
        <v>1787</v>
      </c>
      <c r="M292" s="48"/>
      <c r="N292" s="33" t="s">
        <v>75</v>
      </c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14.25" customHeight="1" x14ac:dyDescent="0.3">
      <c r="A293" s="35">
        <v>4390</v>
      </c>
      <c r="B293" s="36">
        <v>43215</v>
      </c>
      <c r="C293" s="35"/>
      <c r="D293" s="35" t="s">
        <v>306</v>
      </c>
      <c r="E293" s="35"/>
      <c r="F293" s="35"/>
      <c r="G293" s="35">
        <v>76</v>
      </c>
      <c r="H293" s="37" t="s">
        <v>251</v>
      </c>
      <c r="I293" s="38">
        <v>2513</v>
      </c>
      <c r="J293" s="39" t="s">
        <v>12</v>
      </c>
      <c r="K293" s="40"/>
      <c r="L293" s="21">
        <v>3154</v>
      </c>
      <c r="M293" s="41"/>
      <c r="N293" s="42" t="s">
        <v>306</v>
      </c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</row>
    <row r="294" spans="1:27" ht="14.25" customHeight="1" x14ac:dyDescent="0.3">
      <c r="A294" s="27">
        <v>4391</v>
      </c>
      <c r="B294" s="26">
        <v>43215</v>
      </c>
      <c r="C294" s="27"/>
      <c r="D294" s="27" t="s">
        <v>306</v>
      </c>
      <c r="E294" s="27"/>
      <c r="F294" s="27"/>
      <c r="G294" s="27">
        <v>66</v>
      </c>
      <c r="H294" s="28" t="s">
        <v>251</v>
      </c>
      <c r="I294" s="29">
        <v>2513</v>
      </c>
      <c r="J294" s="30" t="s">
        <v>12</v>
      </c>
      <c r="K294" s="47"/>
      <c r="L294" s="45">
        <v>3154</v>
      </c>
      <c r="M294" s="48"/>
      <c r="N294" s="33" t="s">
        <v>306</v>
      </c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14.25" customHeight="1" x14ac:dyDescent="0.3">
      <c r="A295" s="35">
        <v>4392</v>
      </c>
      <c r="B295" s="36">
        <v>43215</v>
      </c>
      <c r="C295" s="35" t="s">
        <v>307</v>
      </c>
      <c r="D295" s="35"/>
      <c r="E295" s="35"/>
      <c r="F295" s="35"/>
      <c r="G295" s="35">
        <v>44</v>
      </c>
      <c r="H295" s="37" t="s">
        <v>298</v>
      </c>
      <c r="I295" s="38">
        <v>2769</v>
      </c>
      <c r="J295" s="35" t="s">
        <v>307</v>
      </c>
      <c r="K295" s="40"/>
      <c r="L295" s="38">
        <v>2769</v>
      </c>
      <c r="M295" s="35" t="s">
        <v>307</v>
      </c>
      <c r="N295" s="42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</row>
    <row r="296" spans="1:27" ht="14.25" customHeight="1" x14ac:dyDescent="0.3">
      <c r="A296" s="27">
        <v>4393</v>
      </c>
      <c r="B296" s="26">
        <v>43215</v>
      </c>
      <c r="C296" s="27" t="s">
        <v>307</v>
      </c>
      <c r="D296" s="27"/>
      <c r="E296" s="27"/>
      <c r="F296" s="27"/>
      <c r="G296" s="27">
        <v>29</v>
      </c>
      <c r="H296" s="28" t="s">
        <v>298</v>
      </c>
      <c r="I296" s="29">
        <v>2769</v>
      </c>
      <c r="J296" s="27" t="s">
        <v>307</v>
      </c>
      <c r="K296" s="47"/>
      <c r="L296" s="29">
        <v>2769</v>
      </c>
      <c r="M296" s="27" t="s">
        <v>307</v>
      </c>
      <c r="N296" s="33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14.25" customHeight="1" x14ac:dyDescent="0.3">
      <c r="A297" s="35">
        <v>4394</v>
      </c>
      <c r="B297" s="36">
        <v>43215</v>
      </c>
      <c r="C297" s="35" t="s">
        <v>307</v>
      </c>
      <c r="D297" s="35"/>
      <c r="E297" s="35"/>
      <c r="F297" s="35"/>
      <c r="G297" s="35">
        <v>9</v>
      </c>
      <c r="H297" s="37" t="s">
        <v>298</v>
      </c>
      <c r="I297" s="38">
        <v>2682</v>
      </c>
      <c r="J297" s="39" t="s">
        <v>307</v>
      </c>
      <c r="K297" s="40"/>
      <c r="L297" s="38">
        <v>2682</v>
      </c>
      <c r="M297" s="39" t="s">
        <v>307</v>
      </c>
      <c r="N297" s="42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</row>
    <row r="298" spans="1:27" ht="14.25" customHeight="1" x14ac:dyDescent="0.3">
      <c r="A298" s="27">
        <v>4395</v>
      </c>
      <c r="B298" s="26">
        <v>43215</v>
      </c>
      <c r="C298" s="27" t="s">
        <v>254</v>
      </c>
      <c r="D298" s="27"/>
      <c r="E298" s="27"/>
      <c r="F298" s="27"/>
      <c r="G298" s="27">
        <v>6</v>
      </c>
      <c r="H298" s="28" t="s">
        <v>298</v>
      </c>
      <c r="I298" s="29" t="s">
        <v>308</v>
      </c>
      <c r="J298" s="30" t="s">
        <v>254</v>
      </c>
      <c r="K298" s="47"/>
      <c r="L298" s="29" t="s">
        <v>308</v>
      </c>
      <c r="M298" s="30" t="s">
        <v>254</v>
      </c>
      <c r="N298" s="33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14.25" customHeight="1" x14ac:dyDescent="0.3">
      <c r="A299" s="35">
        <v>4396</v>
      </c>
      <c r="B299" s="36">
        <v>43222</v>
      </c>
      <c r="C299" s="35"/>
      <c r="D299" s="35" t="s">
        <v>309</v>
      </c>
      <c r="E299" s="35" t="s">
        <v>310</v>
      </c>
      <c r="F299" s="35"/>
      <c r="G299" s="35">
        <v>75</v>
      </c>
      <c r="H299" s="37" t="s">
        <v>114</v>
      </c>
      <c r="I299" s="38">
        <v>2927</v>
      </c>
      <c r="J299" s="39" t="s">
        <v>12</v>
      </c>
      <c r="K299" s="40"/>
      <c r="L299" s="21">
        <v>2927</v>
      </c>
      <c r="M299" s="41" t="s">
        <v>12</v>
      </c>
      <c r="N299" s="42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</row>
    <row r="300" spans="1:27" ht="14.25" customHeight="1" x14ac:dyDescent="0.3">
      <c r="A300" s="27">
        <v>4397</v>
      </c>
      <c r="B300" s="26">
        <v>43222</v>
      </c>
      <c r="C300" s="27"/>
      <c r="D300" s="27" t="s">
        <v>154</v>
      </c>
      <c r="E300" s="27"/>
      <c r="F300" s="27"/>
      <c r="G300" s="27">
        <v>40</v>
      </c>
      <c r="H300" s="28" t="s">
        <v>140</v>
      </c>
      <c r="I300" s="29">
        <v>2684</v>
      </c>
      <c r="J300" s="30"/>
      <c r="K300" s="47" t="s">
        <v>154</v>
      </c>
      <c r="L300" s="45">
        <v>2912</v>
      </c>
      <c r="M300" s="48" t="s">
        <v>12</v>
      </c>
      <c r="N300" s="33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14.25" customHeight="1" x14ac:dyDescent="0.3">
      <c r="A301" s="35">
        <v>4398</v>
      </c>
      <c r="B301" s="36">
        <v>43222</v>
      </c>
      <c r="C301" s="35"/>
      <c r="D301" s="35" t="s">
        <v>154</v>
      </c>
      <c r="E301" s="35"/>
      <c r="F301" s="35"/>
      <c r="G301" s="35">
        <v>55</v>
      </c>
      <c r="H301" s="37" t="s">
        <v>140</v>
      </c>
      <c r="I301" s="38">
        <v>2684</v>
      </c>
      <c r="J301" s="39"/>
      <c r="K301" s="40" t="s">
        <v>154</v>
      </c>
      <c r="L301" s="21">
        <v>2912</v>
      </c>
      <c r="M301" s="41" t="s">
        <v>12</v>
      </c>
      <c r="N301" s="42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</row>
    <row r="302" spans="1:27" ht="14.25" customHeight="1" x14ac:dyDescent="0.3">
      <c r="A302" s="27">
        <v>4399</v>
      </c>
      <c r="B302" s="26">
        <v>43222</v>
      </c>
      <c r="C302" s="27"/>
      <c r="D302" s="27" t="s">
        <v>157</v>
      </c>
      <c r="E302" s="27" t="s">
        <v>145</v>
      </c>
      <c r="F302" s="27"/>
      <c r="G302" s="27">
        <v>36</v>
      </c>
      <c r="H302" s="28" t="s">
        <v>140</v>
      </c>
      <c r="I302" s="29">
        <v>2126</v>
      </c>
      <c r="J302" s="30"/>
      <c r="K302" s="47" t="s">
        <v>157</v>
      </c>
      <c r="L302" s="45">
        <v>2914</v>
      </c>
      <c r="M302" s="48"/>
      <c r="N302" s="33" t="s">
        <v>145</v>
      </c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14.25" customHeight="1" x14ac:dyDescent="0.3">
      <c r="A303" s="35">
        <v>4400</v>
      </c>
      <c r="B303" s="36">
        <v>43222</v>
      </c>
      <c r="C303" s="35"/>
      <c r="D303" s="35" t="s">
        <v>311</v>
      </c>
      <c r="E303" s="35"/>
      <c r="F303" s="35"/>
      <c r="G303" s="35">
        <v>100</v>
      </c>
      <c r="H303" s="37" t="s">
        <v>50</v>
      </c>
      <c r="I303" s="38">
        <v>2927</v>
      </c>
      <c r="J303" s="39" t="s">
        <v>12</v>
      </c>
      <c r="K303" s="40"/>
      <c r="L303" s="21">
        <v>2927</v>
      </c>
      <c r="M303" s="41" t="s">
        <v>12</v>
      </c>
      <c r="N303" s="42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</row>
    <row r="304" spans="1:27" ht="14.25" customHeight="1" x14ac:dyDescent="0.3">
      <c r="A304" s="27">
        <v>4401</v>
      </c>
      <c r="B304" s="26">
        <v>43222</v>
      </c>
      <c r="C304" s="27" t="s">
        <v>194</v>
      </c>
      <c r="D304" s="27"/>
      <c r="E304" s="27"/>
      <c r="F304" s="27"/>
      <c r="G304" s="27">
        <v>110</v>
      </c>
      <c r="H304" s="28" t="s">
        <v>195</v>
      </c>
      <c r="I304" s="29">
        <v>2769</v>
      </c>
      <c r="J304" s="30" t="s">
        <v>307</v>
      </c>
      <c r="K304" s="47"/>
      <c r="L304" s="29">
        <v>2769</v>
      </c>
      <c r="M304" s="30" t="s">
        <v>307</v>
      </c>
      <c r="N304" s="33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14.25" customHeight="1" x14ac:dyDescent="0.3">
      <c r="A305" s="35">
        <v>4402</v>
      </c>
      <c r="B305" s="36">
        <v>43222</v>
      </c>
      <c r="C305" s="35" t="s">
        <v>194</v>
      </c>
      <c r="D305" s="35"/>
      <c r="E305" s="35"/>
      <c r="F305" s="35"/>
      <c r="G305" s="35">
        <v>49</v>
      </c>
      <c r="H305" s="37" t="s">
        <v>195</v>
      </c>
      <c r="I305" s="38" t="s">
        <v>312</v>
      </c>
      <c r="J305" s="39" t="s">
        <v>239</v>
      </c>
      <c r="K305" s="40" t="s">
        <v>313</v>
      </c>
      <c r="L305" s="38" t="s">
        <v>312</v>
      </c>
      <c r="M305" s="39" t="s">
        <v>239</v>
      </c>
      <c r="N305" s="40" t="s">
        <v>313</v>
      </c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</row>
    <row r="306" spans="1:27" ht="14.25" customHeight="1" x14ac:dyDescent="0.3">
      <c r="A306" s="27">
        <v>4403</v>
      </c>
      <c r="B306" s="26">
        <v>43222</v>
      </c>
      <c r="C306" s="27" t="s">
        <v>194</v>
      </c>
      <c r="D306" s="27"/>
      <c r="E306" s="27"/>
      <c r="F306" s="27"/>
      <c r="G306" s="27">
        <v>131</v>
      </c>
      <c r="H306" s="28" t="s">
        <v>195</v>
      </c>
      <c r="I306" s="29" t="s">
        <v>312</v>
      </c>
      <c r="J306" s="30" t="s">
        <v>239</v>
      </c>
      <c r="K306" s="47" t="s">
        <v>313</v>
      </c>
      <c r="L306" s="29" t="s">
        <v>312</v>
      </c>
      <c r="M306" s="30" t="s">
        <v>239</v>
      </c>
      <c r="N306" s="47" t="s">
        <v>313</v>
      </c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14.25" customHeight="1" x14ac:dyDescent="0.3">
      <c r="A307" s="35">
        <v>4404</v>
      </c>
      <c r="B307" s="36">
        <v>43222</v>
      </c>
      <c r="C307" s="35" t="s">
        <v>307</v>
      </c>
      <c r="D307" s="35"/>
      <c r="E307" s="35"/>
      <c r="F307" s="35"/>
      <c r="G307" s="35">
        <v>41</v>
      </c>
      <c r="H307" s="37" t="s">
        <v>195</v>
      </c>
      <c r="I307" s="38" t="s">
        <v>312</v>
      </c>
      <c r="J307" s="39" t="s">
        <v>239</v>
      </c>
      <c r="K307" s="40" t="s">
        <v>313</v>
      </c>
      <c r="L307" s="38" t="s">
        <v>312</v>
      </c>
      <c r="M307" s="39" t="s">
        <v>239</v>
      </c>
      <c r="N307" s="40" t="s">
        <v>313</v>
      </c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</row>
    <row r="308" spans="1:27" ht="14.25" customHeight="1" x14ac:dyDescent="0.3">
      <c r="A308" s="27">
        <v>4405</v>
      </c>
      <c r="B308" s="26">
        <v>43222</v>
      </c>
      <c r="C308" s="27"/>
      <c r="D308" s="27" t="s">
        <v>171</v>
      </c>
      <c r="E308" s="27" t="s">
        <v>154</v>
      </c>
      <c r="F308" s="27"/>
      <c r="G308" s="27">
        <v>20</v>
      </c>
      <c r="H308" s="28" t="s">
        <v>314</v>
      </c>
      <c r="I308" s="29">
        <v>2784</v>
      </c>
      <c r="J308" s="30"/>
      <c r="K308" s="47" t="s">
        <v>171</v>
      </c>
      <c r="L308" s="45">
        <v>2912</v>
      </c>
      <c r="M308" s="48" t="s">
        <v>85</v>
      </c>
      <c r="N308" s="33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14.25" customHeight="1" x14ac:dyDescent="0.3">
      <c r="A309" s="35">
        <v>4406</v>
      </c>
      <c r="B309" s="36">
        <v>43231</v>
      </c>
      <c r="C309" s="35" t="s">
        <v>315</v>
      </c>
      <c r="D309" s="35"/>
      <c r="E309" s="35"/>
      <c r="F309" s="35"/>
      <c r="G309" s="35">
        <v>70</v>
      </c>
      <c r="H309" s="37" t="s">
        <v>316</v>
      </c>
      <c r="I309" s="38">
        <v>2352</v>
      </c>
      <c r="J309" s="39" t="s">
        <v>315</v>
      </c>
      <c r="K309" s="40"/>
      <c r="L309" s="21">
        <v>2352</v>
      </c>
      <c r="M309" s="41" t="s">
        <v>315</v>
      </c>
      <c r="N309" s="42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</row>
    <row r="310" spans="1:27" ht="14.25" customHeight="1" x14ac:dyDescent="0.3">
      <c r="A310" s="27">
        <v>4407</v>
      </c>
      <c r="B310" s="26">
        <v>43231</v>
      </c>
      <c r="C310" s="27" t="s">
        <v>12</v>
      </c>
      <c r="D310" s="27"/>
      <c r="E310" s="27"/>
      <c r="F310" s="27"/>
      <c r="G310" s="27">
        <v>25</v>
      </c>
      <c r="H310" s="28" t="s">
        <v>316</v>
      </c>
      <c r="I310" s="29">
        <v>2892</v>
      </c>
      <c r="J310" s="30" t="s">
        <v>315</v>
      </c>
      <c r="K310" s="47"/>
      <c r="L310" s="45">
        <v>2892</v>
      </c>
      <c r="M310" s="48" t="s">
        <v>12</v>
      </c>
      <c r="N310" s="33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14.25" customHeight="1" x14ac:dyDescent="0.3">
      <c r="A311" s="35">
        <v>4408</v>
      </c>
      <c r="B311" s="36">
        <v>43234</v>
      </c>
      <c r="C311" s="35"/>
      <c r="D311" s="35" t="s">
        <v>317</v>
      </c>
      <c r="E311" s="35" t="s">
        <v>318</v>
      </c>
      <c r="F311" s="35"/>
      <c r="G311" s="35">
        <v>200</v>
      </c>
      <c r="H311" s="37" t="s">
        <v>114</v>
      </c>
      <c r="I311" s="38"/>
      <c r="J311" s="39" t="s">
        <v>319</v>
      </c>
      <c r="K311" s="40"/>
      <c r="L311" s="21"/>
      <c r="M311" s="41"/>
      <c r="N311" s="42" t="s">
        <v>320</v>
      </c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</row>
    <row r="312" spans="1:27" ht="14.25" customHeight="1" x14ac:dyDescent="0.3">
      <c r="A312" s="27">
        <v>4409</v>
      </c>
      <c r="B312" s="26">
        <v>43236</v>
      </c>
      <c r="C312" s="27" t="s">
        <v>321</v>
      </c>
      <c r="D312" s="27"/>
      <c r="E312" s="27"/>
      <c r="F312" s="27"/>
      <c r="G312" s="27">
        <v>160</v>
      </c>
      <c r="H312" s="28" t="s">
        <v>114</v>
      </c>
      <c r="I312" s="29">
        <v>2293</v>
      </c>
      <c r="J312" s="30" t="s">
        <v>322</v>
      </c>
      <c r="K312" s="47"/>
      <c r="L312" s="45">
        <v>3017</v>
      </c>
      <c r="M312" s="48" t="s">
        <v>85</v>
      </c>
      <c r="N312" s="33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14.25" customHeight="1" x14ac:dyDescent="0.3">
      <c r="A313" s="35">
        <v>4410</v>
      </c>
      <c r="B313" s="36">
        <v>43236</v>
      </c>
      <c r="C313" s="35" t="s">
        <v>323</v>
      </c>
      <c r="D313" s="35"/>
      <c r="E313" s="35"/>
      <c r="F313" s="35"/>
      <c r="G313" s="35">
        <v>80</v>
      </c>
      <c r="H313" s="37" t="s">
        <v>114</v>
      </c>
      <c r="I313" s="38">
        <v>2158</v>
      </c>
      <c r="J313" s="39" t="s">
        <v>85</v>
      </c>
      <c r="K313" s="40"/>
      <c r="L313" s="21">
        <v>2172</v>
      </c>
      <c r="M313" s="41" t="s">
        <v>324</v>
      </c>
      <c r="N313" s="42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</row>
    <row r="314" spans="1:27" ht="14.25" customHeight="1" x14ac:dyDescent="0.3">
      <c r="A314" s="27">
        <v>4411</v>
      </c>
      <c r="B314" s="26">
        <v>43236</v>
      </c>
      <c r="C314" s="27" t="s">
        <v>325</v>
      </c>
      <c r="D314" s="27"/>
      <c r="E314" s="27"/>
      <c r="F314" s="27"/>
      <c r="G314" s="27">
        <v>50</v>
      </c>
      <c r="H314" s="28" t="s">
        <v>114</v>
      </c>
      <c r="I314" s="29">
        <v>3017</v>
      </c>
      <c r="J314" s="30" t="s">
        <v>85</v>
      </c>
      <c r="K314" s="47"/>
      <c r="L314" s="45">
        <v>3017</v>
      </c>
      <c r="M314" s="48" t="s">
        <v>85</v>
      </c>
      <c r="N314" s="33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14.25" customHeight="1" x14ac:dyDescent="0.3">
      <c r="A315" s="35">
        <v>4412</v>
      </c>
      <c r="B315" s="36">
        <v>43236</v>
      </c>
      <c r="C315" s="35" t="s">
        <v>326</v>
      </c>
      <c r="D315" s="35"/>
      <c r="E315" s="35"/>
      <c r="F315" s="35"/>
      <c r="G315" s="35">
        <v>50</v>
      </c>
      <c r="H315" s="37" t="s">
        <v>114</v>
      </c>
      <c r="I315" s="38">
        <v>3017</v>
      </c>
      <c r="J315" s="39" t="s">
        <v>85</v>
      </c>
      <c r="K315" s="40"/>
      <c r="L315" s="21">
        <v>3017</v>
      </c>
      <c r="M315" s="41"/>
      <c r="N315" s="42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</row>
    <row r="316" spans="1:27" ht="14.25" customHeight="1" x14ac:dyDescent="0.3">
      <c r="A316" s="27">
        <v>4413</v>
      </c>
      <c r="B316" s="26">
        <v>43238</v>
      </c>
      <c r="C316" s="27"/>
      <c r="D316" s="27" t="s">
        <v>327</v>
      </c>
      <c r="E316" s="27"/>
      <c r="F316" s="27"/>
      <c r="G316" s="27">
        <v>3</v>
      </c>
      <c r="H316" s="28" t="s">
        <v>316</v>
      </c>
      <c r="I316" s="29"/>
      <c r="J316" s="30"/>
      <c r="K316" s="47"/>
      <c r="L316" s="45"/>
      <c r="M316" s="48"/>
      <c r="N316" s="33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14.25" customHeight="1" x14ac:dyDescent="0.3">
      <c r="A317" s="35">
        <v>4414</v>
      </c>
      <c r="B317" s="36">
        <v>43235</v>
      </c>
      <c r="C317" s="35" t="s">
        <v>328</v>
      </c>
      <c r="D317" s="35" t="s">
        <v>329</v>
      </c>
      <c r="E317" s="35" t="s">
        <v>330</v>
      </c>
      <c r="F317" s="35"/>
      <c r="G317" s="35">
        <v>100</v>
      </c>
      <c r="H317" s="37" t="s">
        <v>50</v>
      </c>
      <c r="I317" s="38">
        <v>2409</v>
      </c>
      <c r="J317" s="39"/>
      <c r="K317" s="35" t="s">
        <v>329</v>
      </c>
      <c r="L317" s="21">
        <v>2859</v>
      </c>
      <c r="M317" s="41" t="s">
        <v>12</v>
      </c>
      <c r="N317" s="42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</row>
    <row r="318" spans="1:27" ht="14.25" customHeight="1" x14ac:dyDescent="0.3">
      <c r="A318" s="27">
        <v>4415</v>
      </c>
      <c r="B318" s="26">
        <v>43235</v>
      </c>
      <c r="C318" s="27"/>
      <c r="D318" s="27" t="s">
        <v>331</v>
      </c>
      <c r="E318" s="27"/>
      <c r="F318" s="27"/>
      <c r="G318" s="27">
        <v>90</v>
      </c>
      <c r="H318" s="28" t="s">
        <v>33</v>
      </c>
      <c r="I318" s="29"/>
      <c r="J318" s="30"/>
      <c r="K318" s="47" t="s">
        <v>332</v>
      </c>
      <c r="L318" s="29"/>
      <c r="M318" s="30"/>
      <c r="N318" s="66" t="s">
        <v>332</v>
      </c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14.25" customHeight="1" x14ac:dyDescent="0.3">
      <c r="A319" s="35">
        <v>4416</v>
      </c>
      <c r="B319" s="36">
        <v>43239</v>
      </c>
      <c r="C319" s="35" t="s">
        <v>333</v>
      </c>
      <c r="D319" s="35"/>
      <c r="E319" s="35" t="s">
        <v>207</v>
      </c>
      <c r="F319" s="35" t="s">
        <v>330</v>
      </c>
      <c r="G319" s="35">
        <v>30</v>
      </c>
      <c r="H319" s="37" t="s">
        <v>50</v>
      </c>
      <c r="I319" s="38">
        <v>3085</v>
      </c>
      <c r="J319" s="39" t="s">
        <v>334</v>
      </c>
      <c r="K319" s="40"/>
      <c r="L319" s="21">
        <v>3082</v>
      </c>
      <c r="M319" s="41" t="s">
        <v>335</v>
      </c>
      <c r="N319" s="42" t="s">
        <v>70</v>
      </c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</row>
    <row r="320" spans="1:27" ht="14.25" customHeight="1" x14ac:dyDescent="0.3">
      <c r="A320" s="27">
        <v>4417</v>
      </c>
      <c r="B320" s="26">
        <v>43239</v>
      </c>
      <c r="C320" s="27" t="s">
        <v>336</v>
      </c>
      <c r="D320" s="27"/>
      <c r="E320" s="27" t="s">
        <v>207</v>
      </c>
      <c r="F320" s="27" t="s">
        <v>330</v>
      </c>
      <c r="G320" s="27">
        <v>40</v>
      </c>
      <c r="H320" s="28" t="s">
        <v>50</v>
      </c>
      <c r="I320" s="29">
        <v>3081</v>
      </c>
      <c r="J320" s="30" t="s">
        <v>337</v>
      </c>
      <c r="K320" s="47"/>
      <c r="L320" s="45">
        <v>3151</v>
      </c>
      <c r="M320" s="48" t="s">
        <v>338</v>
      </c>
      <c r="N320" s="33" t="s">
        <v>70</v>
      </c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14.25" customHeight="1" x14ac:dyDescent="0.3">
      <c r="A321" s="35">
        <v>4418</v>
      </c>
      <c r="B321" s="36">
        <v>43239</v>
      </c>
      <c r="C321" s="35" t="s">
        <v>339</v>
      </c>
      <c r="D321" s="35"/>
      <c r="E321" s="35" t="s">
        <v>207</v>
      </c>
      <c r="F321" s="35" t="s">
        <v>330</v>
      </c>
      <c r="G321" s="35">
        <v>15</v>
      </c>
      <c r="H321" s="37" t="s">
        <v>50</v>
      </c>
      <c r="I321" s="38">
        <v>3122</v>
      </c>
      <c r="J321" s="39" t="s">
        <v>340</v>
      </c>
      <c r="K321" s="40"/>
      <c r="L321" s="21">
        <v>3082</v>
      </c>
      <c r="M321" s="41" t="s">
        <v>335</v>
      </c>
      <c r="N321" s="42" t="s">
        <v>70</v>
      </c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</row>
    <row r="322" spans="1:27" ht="14.25" customHeight="1" x14ac:dyDescent="0.3">
      <c r="A322" s="27">
        <v>4419</v>
      </c>
      <c r="B322" s="26">
        <v>43242</v>
      </c>
      <c r="C322" s="27"/>
      <c r="D322" s="27" t="s">
        <v>341</v>
      </c>
      <c r="E322" s="27"/>
      <c r="F322" s="27"/>
      <c r="G322" s="27">
        <v>40</v>
      </c>
      <c r="H322" s="28" t="s">
        <v>39</v>
      </c>
      <c r="I322" s="29"/>
      <c r="J322" s="30" t="s">
        <v>342</v>
      </c>
      <c r="K322" s="47"/>
      <c r="L322" s="45"/>
      <c r="M322" s="48" t="s">
        <v>342</v>
      </c>
      <c r="N322" s="33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14.25" customHeight="1" x14ac:dyDescent="0.3">
      <c r="A323" s="35">
        <v>4420</v>
      </c>
      <c r="B323" s="36">
        <v>43242</v>
      </c>
      <c r="C323" s="35"/>
      <c r="D323" s="35" t="s">
        <v>343</v>
      </c>
      <c r="E323" s="35"/>
      <c r="F323" s="35"/>
      <c r="G323" s="35">
        <v>40</v>
      </c>
      <c r="H323" s="37" t="s">
        <v>39</v>
      </c>
      <c r="I323" s="38"/>
      <c r="J323" s="39" t="s">
        <v>342</v>
      </c>
      <c r="K323" s="40"/>
      <c r="L323" s="21"/>
      <c r="M323" s="41"/>
      <c r="N323" s="42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</row>
    <row r="324" spans="1:27" ht="14.25" customHeight="1" x14ac:dyDescent="0.3">
      <c r="A324" s="27">
        <v>4421</v>
      </c>
      <c r="B324" s="26">
        <v>43243</v>
      </c>
      <c r="C324" s="27" t="s">
        <v>344</v>
      </c>
      <c r="D324" s="27"/>
      <c r="E324" s="27"/>
      <c r="F324" s="27"/>
      <c r="G324" s="27">
        <v>320</v>
      </c>
      <c r="H324" s="28" t="s">
        <v>114</v>
      </c>
      <c r="I324" s="29">
        <v>2156</v>
      </c>
      <c r="J324" s="30" t="s">
        <v>345</v>
      </c>
      <c r="K324" s="47"/>
      <c r="L324" s="45">
        <v>2156</v>
      </c>
      <c r="M324" s="48" t="s">
        <v>345</v>
      </c>
      <c r="N324" s="33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14.25" customHeight="1" x14ac:dyDescent="0.3">
      <c r="A325" s="25">
        <v>4422</v>
      </c>
      <c r="B325" s="36">
        <v>43245</v>
      </c>
      <c r="C325" s="35"/>
      <c r="D325" s="35" t="s">
        <v>346</v>
      </c>
      <c r="E325" s="35"/>
      <c r="F325" s="35"/>
      <c r="G325" s="35">
        <v>45</v>
      </c>
      <c r="H325" s="37" t="s">
        <v>316</v>
      </c>
      <c r="I325" s="38"/>
      <c r="J325" s="39"/>
      <c r="K325" s="40"/>
      <c r="L325" s="21"/>
      <c r="M325" s="41"/>
      <c r="N325" s="42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</row>
    <row r="326" spans="1:27" ht="14.25" customHeight="1" x14ac:dyDescent="0.3">
      <c r="A326" s="27">
        <v>4423</v>
      </c>
      <c r="B326" s="26">
        <v>43245</v>
      </c>
      <c r="C326" s="27"/>
      <c r="D326" s="27" t="s">
        <v>347</v>
      </c>
      <c r="E326" s="27"/>
      <c r="F326" s="27"/>
      <c r="G326" s="27">
        <v>3</v>
      </c>
      <c r="H326" s="28" t="s">
        <v>316</v>
      </c>
      <c r="I326" s="29"/>
      <c r="J326" s="30"/>
      <c r="K326" s="47"/>
      <c r="L326" s="45"/>
      <c r="M326" s="48"/>
      <c r="N326" s="33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14.25" customHeight="1" x14ac:dyDescent="0.3">
      <c r="A327" s="35">
        <v>4424</v>
      </c>
      <c r="B327" s="60">
        <v>43243</v>
      </c>
      <c r="C327" s="35"/>
      <c r="D327" s="35" t="s">
        <v>348</v>
      </c>
      <c r="E327" s="35"/>
      <c r="F327" s="35"/>
      <c r="G327" s="35">
        <v>29</v>
      </c>
      <c r="H327" s="37" t="s">
        <v>195</v>
      </c>
      <c r="I327" s="38">
        <v>2867</v>
      </c>
      <c r="J327" s="39"/>
      <c r="K327" s="35" t="s">
        <v>348</v>
      </c>
      <c r="L327" s="21">
        <v>2960</v>
      </c>
      <c r="M327" s="41" t="s">
        <v>12</v>
      </c>
      <c r="N327" s="42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</row>
    <row r="328" spans="1:27" ht="14.25" customHeight="1" x14ac:dyDescent="0.3">
      <c r="A328" s="27">
        <v>4425</v>
      </c>
      <c r="B328" s="26">
        <v>43244</v>
      </c>
      <c r="C328" s="27" t="s">
        <v>213</v>
      </c>
      <c r="D328" s="27" t="s">
        <v>349</v>
      </c>
      <c r="E328" s="27"/>
      <c r="F328" s="27"/>
      <c r="G328" s="27">
        <v>40</v>
      </c>
      <c r="H328" s="28" t="s">
        <v>114</v>
      </c>
      <c r="I328" s="29">
        <v>2376</v>
      </c>
      <c r="J328" s="30" t="s">
        <v>214</v>
      </c>
      <c r="K328" s="47"/>
      <c r="L328" s="45">
        <v>2900</v>
      </c>
      <c r="M328" s="48"/>
      <c r="N328" s="33" t="s">
        <v>349</v>
      </c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14.25" customHeight="1" x14ac:dyDescent="0.3">
      <c r="A329" s="35">
        <v>4426</v>
      </c>
      <c r="B329" s="36">
        <v>43245</v>
      </c>
      <c r="C329" s="35"/>
      <c r="D329" s="35" t="s">
        <v>350</v>
      </c>
      <c r="E329" s="35"/>
      <c r="F329" s="35"/>
      <c r="G329" s="35">
        <v>10</v>
      </c>
      <c r="H329" s="37" t="s">
        <v>114</v>
      </c>
      <c r="I329" s="38">
        <v>2261</v>
      </c>
      <c r="J329" s="39"/>
      <c r="K329" s="40" t="s">
        <v>127</v>
      </c>
      <c r="L329" s="21">
        <v>2841</v>
      </c>
      <c r="M329" s="41"/>
      <c r="N329" s="42" t="s">
        <v>351</v>
      </c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</row>
    <row r="330" spans="1:27" ht="14.25" customHeight="1" x14ac:dyDescent="0.3">
      <c r="A330" s="27">
        <v>4427</v>
      </c>
      <c r="B330" s="64">
        <v>43244</v>
      </c>
      <c r="C330" s="27" t="s">
        <v>352</v>
      </c>
      <c r="D330" s="27" t="s">
        <v>37</v>
      </c>
      <c r="E330" s="27"/>
      <c r="F330" s="27"/>
      <c r="G330" s="27">
        <v>40</v>
      </c>
      <c r="H330" s="28" t="s">
        <v>39</v>
      </c>
      <c r="I330" s="29">
        <v>2338</v>
      </c>
      <c r="J330" s="30" t="s">
        <v>353</v>
      </c>
      <c r="K330" s="27" t="s">
        <v>37</v>
      </c>
      <c r="L330" s="45">
        <v>2338</v>
      </c>
      <c r="M330" s="30" t="s">
        <v>353</v>
      </c>
      <c r="N330" s="27" t="s">
        <v>37</v>
      </c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14.25" customHeight="1" x14ac:dyDescent="0.3">
      <c r="A331" s="35">
        <v>4428</v>
      </c>
      <c r="B331" s="60">
        <v>43244</v>
      </c>
      <c r="C331" s="35" t="s">
        <v>352</v>
      </c>
      <c r="D331" s="35" t="s">
        <v>38</v>
      </c>
      <c r="E331" s="35"/>
      <c r="F331" s="35"/>
      <c r="G331" s="35">
        <v>60</v>
      </c>
      <c r="H331" s="37" t="s">
        <v>39</v>
      </c>
      <c r="I331" s="38">
        <v>2799</v>
      </c>
      <c r="J331" s="39" t="s">
        <v>353</v>
      </c>
      <c r="K331" s="35" t="s">
        <v>38</v>
      </c>
      <c r="L331" s="21">
        <v>2799</v>
      </c>
      <c r="M331" s="39" t="s">
        <v>353</v>
      </c>
      <c r="N331" s="35" t="s">
        <v>38</v>
      </c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</row>
    <row r="332" spans="1:27" ht="14.25" customHeight="1" x14ac:dyDescent="0.3">
      <c r="A332" s="27">
        <v>4429</v>
      </c>
      <c r="B332" s="64">
        <v>43244</v>
      </c>
      <c r="C332" s="27" t="s">
        <v>352</v>
      </c>
      <c r="D332" s="27" t="s">
        <v>38</v>
      </c>
      <c r="E332" s="66" t="s">
        <v>37</v>
      </c>
      <c r="F332" s="27"/>
      <c r="G332" s="27">
        <v>20</v>
      </c>
      <c r="H332" s="28" t="s">
        <v>39</v>
      </c>
      <c r="I332" s="29">
        <v>2807</v>
      </c>
      <c r="J332" s="30" t="s">
        <v>353</v>
      </c>
      <c r="K332" s="27" t="s">
        <v>354</v>
      </c>
      <c r="L332" s="45">
        <v>2807</v>
      </c>
      <c r="M332" s="30" t="s">
        <v>353</v>
      </c>
      <c r="N332" s="27" t="s">
        <v>354</v>
      </c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14.25" customHeight="1" x14ac:dyDescent="0.3">
      <c r="A333" s="35">
        <v>4430</v>
      </c>
      <c r="B333" s="60">
        <v>43244</v>
      </c>
      <c r="C333" s="35" t="s">
        <v>355</v>
      </c>
      <c r="D333" s="35" t="s">
        <v>38</v>
      </c>
      <c r="E333" s="35"/>
      <c r="F333" s="35"/>
      <c r="G333" s="35">
        <v>30</v>
      </c>
      <c r="H333" s="37" t="s">
        <v>39</v>
      </c>
      <c r="I333" s="38">
        <v>2734</v>
      </c>
      <c r="J333" s="39" t="s">
        <v>356</v>
      </c>
      <c r="K333" s="35" t="s">
        <v>38</v>
      </c>
      <c r="L333" s="21">
        <v>2734</v>
      </c>
      <c r="M333" s="39" t="s">
        <v>356</v>
      </c>
      <c r="N333" s="35" t="s">
        <v>38</v>
      </c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</row>
    <row r="334" spans="1:27" ht="14.25" customHeight="1" x14ac:dyDescent="0.3">
      <c r="A334" s="27">
        <v>4431</v>
      </c>
      <c r="B334" s="64">
        <v>43247</v>
      </c>
      <c r="C334" s="27"/>
      <c r="D334" s="27" t="s">
        <v>173</v>
      </c>
      <c r="E334" s="27"/>
      <c r="F334" s="27"/>
      <c r="G334" s="27">
        <v>65</v>
      </c>
      <c r="H334" s="28" t="s">
        <v>172</v>
      </c>
      <c r="I334" s="29">
        <v>2364</v>
      </c>
      <c r="J334" s="30"/>
      <c r="K334" s="27" t="s">
        <v>173</v>
      </c>
      <c r="L334" s="29">
        <v>2364</v>
      </c>
      <c r="M334" s="30"/>
      <c r="N334" s="27" t="s">
        <v>173</v>
      </c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14.25" customHeight="1" x14ac:dyDescent="0.3">
      <c r="A335" s="35">
        <v>4432</v>
      </c>
      <c r="B335" s="60">
        <v>43247</v>
      </c>
      <c r="C335" s="35"/>
      <c r="D335" s="35" t="s">
        <v>174</v>
      </c>
      <c r="E335" s="35"/>
      <c r="F335" s="35"/>
      <c r="G335" s="35">
        <v>30</v>
      </c>
      <c r="H335" s="37" t="s">
        <v>172</v>
      </c>
      <c r="I335" s="38">
        <v>2493</v>
      </c>
      <c r="J335" s="39"/>
      <c r="K335" s="35" t="s">
        <v>174</v>
      </c>
      <c r="L335" s="38">
        <v>2493</v>
      </c>
      <c r="M335" s="39"/>
      <c r="N335" s="35" t="s">
        <v>174</v>
      </c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</row>
    <row r="336" spans="1:27" ht="14.25" customHeight="1" x14ac:dyDescent="0.3">
      <c r="A336" s="27">
        <v>4433</v>
      </c>
      <c r="B336" s="64">
        <v>43247</v>
      </c>
      <c r="C336" s="27"/>
      <c r="D336" s="27" t="s">
        <v>357</v>
      </c>
      <c r="E336" s="27"/>
      <c r="F336" s="27"/>
      <c r="G336" s="27">
        <v>33</v>
      </c>
      <c r="H336" s="28" t="s">
        <v>33</v>
      </c>
      <c r="I336" s="29">
        <v>3044</v>
      </c>
      <c r="J336" s="30" t="s">
        <v>85</v>
      </c>
      <c r="K336" s="47"/>
      <c r="L336" s="45">
        <v>3044</v>
      </c>
      <c r="M336" s="48" t="s">
        <v>85</v>
      </c>
      <c r="N336" s="33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14.25" customHeight="1" x14ac:dyDescent="0.3">
      <c r="A337" s="35">
        <v>4434</v>
      </c>
      <c r="B337" s="60">
        <v>43252</v>
      </c>
      <c r="C337" s="35"/>
      <c r="D337" s="35" t="s">
        <v>346</v>
      </c>
      <c r="E337" s="35"/>
      <c r="F337" s="35"/>
      <c r="G337" s="35">
        <v>30</v>
      </c>
      <c r="H337" s="37" t="s">
        <v>316</v>
      </c>
      <c r="I337" s="38"/>
      <c r="J337" s="39"/>
      <c r="K337" s="40"/>
      <c r="L337" s="21"/>
      <c r="M337" s="41"/>
      <c r="N337" s="42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</row>
    <row r="338" spans="1:27" ht="14.25" customHeight="1" x14ac:dyDescent="0.3">
      <c r="A338" s="25">
        <v>4435</v>
      </c>
      <c r="B338" s="64">
        <v>43252</v>
      </c>
      <c r="C338" s="27"/>
      <c r="D338" s="27" t="s">
        <v>358</v>
      </c>
      <c r="E338" s="27"/>
      <c r="F338" s="27"/>
      <c r="G338" s="27">
        <v>30</v>
      </c>
      <c r="H338" s="28" t="s">
        <v>316</v>
      </c>
      <c r="I338" s="29"/>
      <c r="J338" s="30"/>
      <c r="K338" s="47"/>
      <c r="L338" s="45"/>
      <c r="M338" s="48"/>
      <c r="N338" s="33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14.25" customHeight="1" x14ac:dyDescent="0.3">
      <c r="A339" s="25">
        <v>4436</v>
      </c>
      <c r="B339" s="60">
        <v>43252</v>
      </c>
      <c r="C339" s="35"/>
      <c r="D339" s="35" t="s">
        <v>359</v>
      </c>
      <c r="E339" s="35"/>
      <c r="F339" s="35"/>
      <c r="G339" s="35">
        <v>30</v>
      </c>
      <c r="H339" s="37" t="s">
        <v>316</v>
      </c>
      <c r="I339" s="38"/>
      <c r="J339" s="39"/>
      <c r="K339" s="40"/>
      <c r="L339" s="21"/>
      <c r="M339" s="41"/>
      <c r="N339" s="42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</row>
    <row r="340" spans="1:27" ht="14.25" customHeight="1" x14ac:dyDescent="0.3">
      <c r="A340" s="25">
        <v>4437</v>
      </c>
      <c r="B340" s="64">
        <v>43252</v>
      </c>
      <c r="C340" s="27"/>
      <c r="D340" s="27" t="s">
        <v>360</v>
      </c>
      <c r="E340" s="27"/>
      <c r="F340" s="27"/>
      <c r="G340" s="27">
        <v>25</v>
      </c>
      <c r="H340" s="28" t="s">
        <v>316</v>
      </c>
      <c r="I340" s="29"/>
      <c r="J340" s="30"/>
      <c r="K340" s="47"/>
      <c r="L340" s="45"/>
      <c r="M340" s="48"/>
      <c r="N340" s="33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14.25" customHeight="1" x14ac:dyDescent="0.3">
      <c r="A341" s="35">
        <v>4438</v>
      </c>
      <c r="B341" s="36">
        <v>43250</v>
      </c>
      <c r="C341" s="35"/>
      <c r="D341" s="35" t="s">
        <v>341</v>
      </c>
      <c r="E341" s="35"/>
      <c r="F341" s="35"/>
      <c r="G341" s="35">
        <v>30</v>
      </c>
      <c r="H341" s="37" t="s">
        <v>114</v>
      </c>
      <c r="I341" s="38"/>
      <c r="J341" s="39" t="s">
        <v>342</v>
      </c>
      <c r="K341" s="40"/>
      <c r="L341" s="21"/>
      <c r="M341" s="41" t="s">
        <v>342</v>
      </c>
      <c r="N341" s="42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</row>
    <row r="342" spans="1:27" ht="14.25" customHeight="1" x14ac:dyDescent="0.3">
      <c r="A342" s="27">
        <v>4439</v>
      </c>
      <c r="B342" s="64">
        <v>43248</v>
      </c>
      <c r="C342" s="27" t="s">
        <v>361</v>
      </c>
      <c r="D342" s="27" t="s">
        <v>362</v>
      </c>
      <c r="E342" s="27"/>
      <c r="F342" s="27"/>
      <c r="G342" s="27">
        <v>25</v>
      </c>
      <c r="H342" s="28" t="s">
        <v>50</v>
      </c>
      <c r="I342" s="29">
        <v>3081</v>
      </c>
      <c r="J342" s="30" t="s">
        <v>335</v>
      </c>
      <c r="K342" s="47"/>
      <c r="L342" s="45">
        <v>3151</v>
      </c>
      <c r="M342" s="48" t="s">
        <v>363</v>
      </c>
      <c r="N342" s="33" t="s">
        <v>70</v>
      </c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14.25" customHeight="1" x14ac:dyDescent="0.3">
      <c r="A343" s="35">
        <v>4440</v>
      </c>
      <c r="B343" s="60">
        <v>43249</v>
      </c>
      <c r="C343" s="35"/>
      <c r="D343" s="35" t="s">
        <v>272</v>
      </c>
      <c r="E343" s="35"/>
      <c r="F343" s="35"/>
      <c r="G343" s="35">
        <v>60</v>
      </c>
      <c r="H343" s="37" t="s">
        <v>140</v>
      </c>
      <c r="I343" s="38">
        <v>3130</v>
      </c>
      <c r="J343" s="39"/>
      <c r="K343" s="40" t="s">
        <v>272</v>
      </c>
      <c r="L343" s="21">
        <v>2911</v>
      </c>
      <c r="M343" s="41"/>
      <c r="N343" s="42" t="s">
        <v>12</v>
      </c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</row>
    <row r="344" spans="1:27" ht="14.25" customHeight="1" x14ac:dyDescent="0.3">
      <c r="A344" s="27">
        <v>4441</v>
      </c>
      <c r="B344" s="26">
        <v>43255</v>
      </c>
      <c r="C344" s="27"/>
      <c r="D344" s="27" t="s">
        <v>364</v>
      </c>
      <c r="E344" s="27"/>
      <c r="F344" s="27"/>
      <c r="G344" s="27">
        <v>30</v>
      </c>
      <c r="H344" s="28" t="s">
        <v>114</v>
      </c>
      <c r="I344" s="29">
        <v>3045</v>
      </c>
      <c r="J344" s="30" t="s">
        <v>85</v>
      </c>
      <c r="K344" s="47"/>
      <c r="L344" s="45">
        <v>3045</v>
      </c>
      <c r="M344" s="48" t="s">
        <v>85</v>
      </c>
      <c r="N344" s="33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14.25" customHeight="1" x14ac:dyDescent="0.3">
      <c r="A345" s="35">
        <v>4442</v>
      </c>
      <c r="B345" s="35" t="s">
        <v>365</v>
      </c>
      <c r="C345" s="35" t="s">
        <v>366</v>
      </c>
      <c r="D345" s="35"/>
      <c r="E345" s="35"/>
      <c r="F345" s="35"/>
      <c r="G345" s="35" t="s">
        <v>367</v>
      </c>
      <c r="H345" s="37" t="s">
        <v>50</v>
      </c>
      <c r="I345" s="39" t="s">
        <v>368</v>
      </c>
      <c r="J345" s="39" t="s">
        <v>369</v>
      </c>
      <c r="K345" s="40"/>
      <c r="L345" s="41" t="s">
        <v>368</v>
      </c>
      <c r="M345" s="39" t="s">
        <v>369</v>
      </c>
      <c r="N345" s="42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</row>
    <row r="346" spans="1:27" ht="14.25" customHeight="1" x14ac:dyDescent="0.3">
      <c r="A346" s="27">
        <v>4443</v>
      </c>
      <c r="B346" s="26">
        <v>43259</v>
      </c>
      <c r="C346" s="27"/>
      <c r="D346" s="27" t="s">
        <v>358</v>
      </c>
      <c r="E346" s="27"/>
      <c r="F346" s="27"/>
      <c r="G346" s="27">
        <v>40</v>
      </c>
      <c r="H346" s="28" t="s">
        <v>316</v>
      </c>
      <c r="I346" s="29"/>
      <c r="J346" s="30"/>
      <c r="K346" s="47"/>
      <c r="L346" s="45"/>
      <c r="M346" s="48"/>
      <c r="N346" s="33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14.25" customHeight="1" x14ac:dyDescent="0.3">
      <c r="A347" s="25">
        <v>4444</v>
      </c>
      <c r="B347" s="36">
        <v>43259</v>
      </c>
      <c r="C347" s="35"/>
      <c r="D347" s="35" t="s">
        <v>370</v>
      </c>
      <c r="E347" s="35"/>
      <c r="F347" s="35"/>
      <c r="G347" s="35">
        <v>2</v>
      </c>
      <c r="H347" s="37" t="s">
        <v>316</v>
      </c>
      <c r="I347" s="38"/>
      <c r="J347" s="39"/>
      <c r="K347" s="40"/>
      <c r="L347" s="21"/>
      <c r="M347" s="41"/>
      <c r="N347" s="42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</row>
    <row r="348" spans="1:27" ht="14.25" customHeight="1" x14ac:dyDescent="0.3">
      <c r="A348" s="25">
        <v>4445</v>
      </c>
      <c r="B348" s="26">
        <v>43259</v>
      </c>
      <c r="C348" s="27"/>
      <c r="D348" s="27" t="s">
        <v>360</v>
      </c>
      <c r="E348" s="27"/>
      <c r="F348" s="27"/>
      <c r="G348" s="27">
        <v>60</v>
      </c>
      <c r="H348" s="28" t="s">
        <v>316</v>
      </c>
      <c r="I348" s="29"/>
      <c r="J348" s="30"/>
      <c r="K348" s="47"/>
      <c r="L348" s="45"/>
      <c r="M348" s="48"/>
      <c r="N348" s="33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14.25" customHeight="1" x14ac:dyDescent="0.3">
      <c r="A349" s="25">
        <v>4446</v>
      </c>
      <c r="B349" s="36">
        <v>43259</v>
      </c>
      <c r="C349" s="35"/>
      <c r="D349" s="35" t="s">
        <v>359</v>
      </c>
      <c r="E349" s="35"/>
      <c r="F349" s="35"/>
      <c r="G349" s="35">
        <v>1</v>
      </c>
      <c r="H349" s="37" t="s">
        <v>316</v>
      </c>
      <c r="I349" s="38"/>
      <c r="J349" s="39"/>
      <c r="K349" s="40"/>
      <c r="L349" s="21"/>
      <c r="M349" s="41"/>
      <c r="N349" s="42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</row>
    <row r="350" spans="1:27" ht="14.25" customHeight="1" x14ac:dyDescent="0.3">
      <c r="A350" s="27">
        <v>4447</v>
      </c>
      <c r="B350" s="26">
        <v>43255</v>
      </c>
      <c r="C350" s="27" t="s">
        <v>371</v>
      </c>
      <c r="D350" s="27"/>
      <c r="E350" s="27"/>
      <c r="F350" s="27"/>
      <c r="G350" s="27">
        <v>30</v>
      </c>
      <c r="H350" s="28" t="s">
        <v>50</v>
      </c>
      <c r="I350" s="29">
        <v>2891</v>
      </c>
      <c r="J350" s="30" t="s">
        <v>85</v>
      </c>
      <c r="K350" s="47"/>
      <c r="L350" s="45">
        <v>2891</v>
      </c>
      <c r="M350" s="48" t="s">
        <v>85</v>
      </c>
      <c r="N350" s="33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14.25" customHeight="1" x14ac:dyDescent="0.3">
      <c r="A351" s="35">
        <v>4448</v>
      </c>
      <c r="B351" s="36">
        <v>43261</v>
      </c>
      <c r="C351" s="35"/>
      <c r="D351" s="35" t="s">
        <v>372</v>
      </c>
      <c r="E351" s="35"/>
      <c r="F351" s="35"/>
      <c r="G351" s="35">
        <v>50</v>
      </c>
      <c r="H351" s="37" t="s">
        <v>316</v>
      </c>
      <c r="I351" s="38"/>
      <c r="J351" s="39"/>
      <c r="K351" s="40"/>
      <c r="L351" s="21"/>
      <c r="M351" s="41"/>
      <c r="N351" s="42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</row>
    <row r="352" spans="1:27" ht="14.25" customHeight="1" x14ac:dyDescent="0.3">
      <c r="A352" s="25">
        <v>4449</v>
      </c>
      <c r="B352" s="26">
        <v>43261</v>
      </c>
      <c r="C352" s="27"/>
      <c r="D352" s="27" t="s">
        <v>373</v>
      </c>
      <c r="E352" s="27"/>
      <c r="F352" s="27"/>
      <c r="G352" s="27">
        <v>60</v>
      </c>
      <c r="H352" s="28" t="s">
        <v>316</v>
      </c>
      <c r="I352" s="29"/>
      <c r="J352" s="30"/>
      <c r="K352" s="47"/>
      <c r="L352" s="45"/>
      <c r="M352" s="48"/>
      <c r="N352" s="33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14.25" customHeight="1" x14ac:dyDescent="0.3">
      <c r="A353" s="35">
        <v>4450</v>
      </c>
      <c r="B353" s="36">
        <v>43257</v>
      </c>
      <c r="C353" s="35" t="s">
        <v>374</v>
      </c>
      <c r="D353" s="35" t="s">
        <v>70</v>
      </c>
      <c r="E353" s="35"/>
      <c r="F353" s="35"/>
      <c r="G353" s="35">
        <v>50</v>
      </c>
      <c r="H353" s="37" t="s">
        <v>50</v>
      </c>
      <c r="I353" s="38">
        <v>3122</v>
      </c>
      <c r="J353" s="39" t="s">
        <v>375</v>
      </c>
      <c r="K353" s="40"/>
      <c r="L353" s="21">
        <v>3082</v>
      </c>
      <c r="M353" s="41" t="s">
        <v>335</v>
      </c>
      <c r="N353" s="35" t="s">
        <v>70</v>
      </c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</row>
    <row r="354" spans="1:27" ht="14.25" customHeight="1" x14ac:dyDescent="0.3">
      <c r="A354" s="27">
        <v>4451</v>
      </c>
      <c r="B354" s="26">
        <v>43257</v>
      </c>
      <c r="C354" s="27" t="s">
        <v>374</v>
      </c>
      <c r="D354" s="27"/>
      <c r="E354" s="27"/>
      <c r="F354" s="27"/>
      <c r="G354" s="27">
        <v>50</v>
      </c>
      <c r="H354" s="28" t="s">
        <v>50</v>
      </c>
      <c r="I354" s="29">
        <v>3122</v>
      </c>
      <c r="J354" s="30" t="s">
        <v>375</v>
      </c>
      <c r="K354" s="47"/>
      <c r="L354" s="45">
        <v>3082</v>
      </c>
      <c r="M354" s="48" t="s">
        <v>335</v>
      </c>
      <c r="N354" s="27" t="s">
        <v>70</v>
      </c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14.25" customHeight="1" x14ac:dyDescent="0.3">
      <c r="A355" s="35">
        <v>4452</v>
      </c>
      <c r="B355" s="36">
        <v>43257</v>
      </c>
      <c r="C355" s="35" t="s">
        <v>376</v>
      </c>
      <c r="D355" s="35" t="s">
        <v>70</v>
      </c>
      <c r="E355" s="35"/>
      <c r="F355" s="35"/>
      <c r="G355" s="35">
        <v>80</v>
      </c>
      <c r="H355" s="37" t="s">
        <v>50</v>
      </c>
      <c r="I355" s="38">
        <v>3122</v>
      </c>
      <c r="J355" s="39" t="s">
        <v>377</v>
      </c>
      <c r="K355" s="40"/>
      <c r="L355" s="21">
        <v>3082</v>
      </c>
      <c r="M355" s="41" t="s">
        <v>335</v>
      </c>
      <c r="N355" s="35" t="s">
        <v>70</v>
      </c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</row>
    <row r="356" spans="1:27" ht="14.25" customHeight="1" x14ac:dyDescent="0.3">
      <c r="A356" s="27">
        <v>4453</v>
      </c>
      <c r="B356" s="26">
        <v>43257</v>
      </c>
      <c r="C356" s="27" t="s">
        <v>376</v>
      </c>
      <c r="D356" s="27" t="s">
        <v>183</v>
      </c>
      <c r="E356" s="27"/>
      <c r="F356" s="27"/>
      <c r="G356" s="27">
        <v>20</v>
      </c>
      <c r="H356" s="28" t="s">
        <v>50</v>
      </c>
      <c r="I356" s="29">
        <v>3122</v>
      </c>
      <c r="J356" s="30" t="s">
        <v>377</v>
      </c>
      <c r="K356" s="27" t="s">
        <v>183</v>
      </c>
      <c r="L356" s="45">
        <v>3082</v>
      </c>
      <c r="M356" s="48" t="s">
        <v>335</v>
      </c>
      <c r="N356" s="27" t="s">
        <v>70</v>
      </c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14.25" customHeight="1" x14ac:dyDescent="0.3">
      <c r="A357" s="35">
        <v>4454</v>
      </c>
      <c r="B357" s="36">
        <v>43257</v>
      </c>
      <c r="C357" s="35" t="s">
        <v>376</v>
      </c>
      <c r="D357" s="35"/>
      <c r="E357" s="35"/>
      <c r="F357" s="35"/>
      <c r="G357" s="35">
        <v>90</v>
      </c>
      <c r="H357" s="37" t="s">
        <v>50</v>
      </c>
      <c r="I357" s="38">
        <v>3122</v>
      </c>
      <c r="J357" s="39" t="s">
        <v>377</v>
      </c>
      <c r="K357" s="40"/>
      <c r="L357" s="21">
        <v>3082</v>
      </c>
      <c r="M357" s="41" t="s">
        <v>335</v>
      </c>
      <c r="N357" s="35" t="s">
        <v>70</v>
      </c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</row>
    <row r="358" spans="1:27" ht="14.25" customHeight="1" x14ac:dyDescent="0.3">
      <c r="A358" s="27">
        <v>4455</v>
      </c>
      <c r="B358" s="26">
        <v>43259</v>
      </c>
      <c r="C358" s="27" t="s">
        <v>371</v>
      </c>
      <c r="D358" s="27" t="s">
        <v>183</v>
      </c>
      <c r="E358" s="27"/>
      <c r="F358" s="27"/>
      <c r="G358" s="27">
        <v>30</v>
      </c>
      <c r="H358" s="28" t="s">
        <v>50</v>
      </c>
      <c r="I358" s="29">
        <v>3044</v>
      </c>
      <c r="J358" s="30" t="s">
        <v>12</v>
      </c>
      <c r="K358" s="47"/>
      <c r="L358" s="45">
        <v>4179</v>
      </c>
      <c r="M358" s="27" t="s">
        <v>183</v>
      </c>
      <c r="N358" s="33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14.25" customHeight="1" x14ac:dyDescent="0.3">
      <c r="A359" s="35">
        <v>4456</v>
      </c>
      <c r="B359" s="36">
        <v>43259</v>
      </c>
      <c r="C359" s="35" t="s">
        <v>371</v>
      </c>
      <c r="D359" s="35"/>
      <c r="E359" s="35"/>
      <c r="F359" s="35"/>
      <c r="G359" s="35">
        <v>60</v>
      </c>
      <c r="H359" s="37" t="s">
        <v>50</v>
      </c>
      <c r="I359" s="38">
        <v>3044</v>
      </c>
      <c r="J359" s="39" t="s">
        <v>12</v>
      </c>
      <c r="K359" s="40"/>
      <c r="L359" s="21">
        <v>3044</v>
      </c>
      <c r="M359" s="39" t="s">
        <v>12</v>
      </c>
      <c r="N359" s="42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</row>
    <row r="360" spans="1:27" ht="14.25" customHeight="1" x14ac:dyDescent="0.3">
      <c r="A360" s="25">
        <v>4457</v>
      </c>
      <c r="B360" s="26">
        <v>43258</v>
      </c>
      <c r="C360" s="27"/>
      <c r="D360" s="27" t="s">
        <v>378</v>
      </c>
      <c r="E360" s="27"/>
      <c r="F360" s="27"/>
      <c r="G360" s="27">
        <v>27</v>
      </c>
      <c r="H360" s="28" t="s">
        <v>379</v>
      </c>
      <c r="I360" s="29">
        <v>2849</v>
      </c>
      <c r="J360" s="30"/>
      <c r="K360" s="47" t="s">
        <v>378</v>
      </c>
      <c r="L360" s="29">
        <v>2849</v>
      </c>
      <c r="M360" s="30"/>
      <c r="N360" s="47" t="s">
        <v>378</v>
      </c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14.25" customHeight="1" x14ac:dyDescent="0.3">
      <c r="A361" s="25">
        <v>4458</v>
      </c>
      <c r="B361" s="36">
        <v>43258</v>
      </c>
      <c r="C361" s="35"/>
      <c r="D361" s="35" t="s">
        <v>378</v>
      </c>
      <c r="E361" s="35"/>
      <c r="F361" s="35"/>
      <c r="G361" s="35">
        <v>60</v>
      </c>
      <c r="H361" s="37" t="s">
        <v>379</v>
      </c>
      <c r="I361" s="38">
        <v>2850</v>
      </c>
      <c r="J361" s="39"/>
      <c r="K361" s="40" t="s">
        <v>378</v>
      </c>
      <c r="L361" s="21">
        <v>2850</v>
      </c>
      <c r="M361" s="41"/>
      <c r="N361" s="40" t="s">
        <v>378</v>
      </c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</row>
    <row r="362" spans="1:27" ht="14.25" customHeight="1" x14ac:dyDescent="0.3">
      <c r="A362" s="25">
        <v>4459</v>
      </c>
      <c r="B362" s="26" t="s">
        <v>380</v>
      </c>
      <c r="C362" s="27"/>
      <c r="D362" s="27" t="s">
        <v>378</v>
      </c>
      <c r="E362" s="27" t="s">
        <v>95</v>
      </c>
      <c r="F362" s="27"/>
      <c r="G362" s="27">
        <v>50</v>
      </c>
      <c r="H362" s="28" t="s">
        <v>379</v>
      </c>
      <c r="I362" s="29">
        <v>2855</v>
      </c>
      <c r="J362" s="30"/>
      <c r="K362" s="47" t="s">
        <v>381</v>
      </c>
      <c r="L362" s="45">
        <v>2855</v>
      </c>
      <c r="M362" s="48"/>
      <c r="N362" s="47" t="s">
        <v>381</v>
      </c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14.25" customHeight="1" x14ac:dyDescent="0.3">
      <c r="A363" s="35">
        <v>4460</v>
      </c>
      <c r="B363" s="36">
        <v>43258</v>
      </c>
      <c r="C363" s="35" t="s">
        <v>12</v>
      </c>
      <c r="D363" s="35"/>
      <c r="E363" s="35"/>
      <c r="F363" s="35"/>
      <c r="G363" s="35">
        <v>60</v>
      </c>
      <c r="H363" s="37" t="s">
        <v>379</v>
      </c>
      <c r="I363" s="38">
        <v>2946</v>
      </c>
      <c r="J363" s="39" t="s">
        <v>12</v>
      </c>
      <c r="K363" s="40"/>
      <c r="L363" s="21">
        <v>2946</v>
      </c>
      <c r="M363" s="41" t="s">
        <v>12</v>
      </c>
      <c r="N363" s="42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</row>
    <row r="364" spans="1:27" ht="14.25" customHeight="1" x14ac:dyDescent="0.3">
      <c r="A364" s="27">
        <v>4461</v>
      </c>
      <c r="B364" s="26">
        <v>43260</v>
      </c>
      <c r="C364" s="27"/>
      <c r="D364" s="27" t="s">
        <v>173</v>
      </c>
      <c r="E364" s="27"/>
      <c r="F364" s="27"/>
      <c r="G364" s="27">
        <v>40</v>
      </c>
      <c r="H364" s="28" t="s">
        <v>172</v>
      </c>
      <c r="I364" s="29">
        <v>2364</v>
      </c>
      <c r="J364" s="30"/>
      <c r="K364" s="27" t="s">
        <v>173</v>
      </c>
      <c r="L364" s="45">
        <v>2395</v>
      </c>
      <c r="M364" s="48" t="s">
        <v>12</v>
      </c>
      <c r="N364" s="33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14.25" customHeight="1" x14ac:dyDescent="0.3">
      <c r="A365" s="25">
        <v>4462</v>
      </c>
      <c r="B365" s="36">
        <v>43266</v>
      </c>
      <c r="C365" s="35" t="s">
        <v>382</v>
      </c>
      <c r="D365" s="35"/>
      <c r="E365" s="35"/>
      <c r="F365" s="35"/>
      <c r="G365" s="35">
        <v>50</v>
      </c>
      <c r="H365" s="37" t="s">
        <v>316</v>
      </c>
      <c r="I365" s="38">
        <v>3020</v>
      </c>
      <c r="J365" s="35" t="s">
        <v>382</v>
      </c>
      <c r="K365" s="40"/>
      <c r="L365" s="21">
        <v>3002</v>
      </c>
      <c r="M365" s="35" t="s">
        <v>382</v>
      </c>
      <c r="N365" s="42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</row>
    <row r="366" spans="1:27" ht="14.25" customHeight="1" x14ac:dyDescent="0.3">
      <c r="A366" s="27">
        <v>4463</v>
      </c>
      <c r="B366" s="26">
        <v>43266</v>
      </c>
      <c r="C366" s="27"/>
      <c r="D366" s="27" t="s">
        <v>383</v>
      </c>
      <c r="E366" s="27"/>
      <c r="F366" s="27"/>
      <c r="G366" s="27">
        <v>210</v>
      </c>
      <c r="H366" s="28" t="s">
        <v>316</v>
      </c>
      <c r="I366" s="29"/>
      <c r="J366" s="30"/>
      <c r="K366" s="47"/>
      <c r="L366" s="45"/>
      <c r="M366" s="48"/>
      <c r="N366" s="33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14.25" customHeight="1" x14ac:dyDescent="0.3">
      <c r="A367" s="35">
        <v>4464</v>
      </c>
      <c r="B367" s="36">
        <v>43266</v>
      </c>
      <c r="C367" s="35"/>
      <c r="D367" s="35" t="s">
        <v>372</v>
      </c>
      <c r="E367" s="35"/>
      <c r="F367" s="35"/>
      <c r="G367" s="35">
        <v>210</v>
      </c>
      <c r="H367" s="37" t="s">
        <v>316</v>
      </c>
      <c r="I367" s="38"/>
      <c r="J367" s="39"/>
      <c r="K367" s="40"/>
      <c r="L367" s="21"/>
      <c r="M367" s="41"/>
      <c r="N367" s="42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</row>
    <row r="368" spans="1:27" ht="14.25" customHeight="1" x14ac:dyDescent="0.3">
      <c r="A368" s="27">
        <v>4465</v>
      </c>
      <c r="B368" s="26">
        <v>43266</v>
      </c>
      <c r="C368" s="27"/>
      <c r="D368" s="27" t="s">
        <v>373</v>
      </c>
      <c r="E368" s="27"/>
      <c r="F368" s="27"/>
      <c r="G368" s="27">
        <v>180</v>
      </c>
      <c r="H368" s="28" t="s">
        <v>316</v>
      </c>
      <c r="I368" s="29"/>
      <c r="J368" s="30"/>
      <c r="K368" s="47"/>
      <c r="L368" s="45"/>
      <c r="M368" s="48"/>
      <c r="N368" s="33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14.25" customHeight="1" x14ac:dyDescent="0.3">
      <c r="A369" s="35">
        <v>4466</v>
      </c>
      <c r="B369" s="36">
        <v>43263</v>
      </c>
      <c r="C369" s="35"/>
      <c r="D369" s="35" t="s">
        <v>384</v>
      </c>
      <c r="E369" s="35"/>
      <c r="F369" s="35"/>
      <c r="G369" s="35">
        <v>40</v>
      </c>
      <c r="H369" s="37" t="s">
        <v>50</v>
      </c>
      <c r="I369" s="38">
        <v>2891</v>
      </c>
      <c r="J369" s="39" t="s">
        <v>12</v>
      </c>
      <c r="K369" s="40"/>
      <c r="L369" s="21">
        <v>2891</v>
      </c>
      <c r="M369" s="41" t="s">
        <v>12</v>
      </c>
      <c r="N369" s="42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</row>
    <row r="370" spans="1:27" ht="14.25" customHeight="1" x14ac:dyDescent="0.3">
      <c r="A370" s="27">
        <v>4467</v>
      </c>
      <c r="B370" s="26">
        <v>43264</v>
      </c>
      <c r="C370" s="27"/>
      <c r="D370" s="27" t="s">
        <v>385</v>
      </c>
      <c r="E370" s="27"/>
      <c r="F370" s="27"/>
      <c r="G370" s="27">
        <v>30</v>
      </c>
      <c r="H370" s="28" t="s">
        <v>137</v>
      </c>
      <c r="I370" s="29">
        <v>3045</v>
      </c>
      <c r="J370" s="30" t="s">
        <v>12</v>
      </c>
      <c r="K370" s="47"/>
      <c r="L370" s="45">
        <v>2899</v>
      </c>
      <c r="M370" s="48"/>
      <c r="N370" s="33" t="s">
        <v>385</v>
      </c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14.25" customHeight="1" x14ac:dyDescent="0.3">
      <c r="A371" s="35">
        <v>4468</v>
      </c>
      <c r="B371" s="36">
        <v>43264</v>
      </c>
      <c r="C371" s="35"/>
      <c r="D371" s="35" t="s">
        <v>386</v>
      </c>
      <c r="E371" s="35" t="s">
        <v>387</v>
      </c>
      <c r="F371" s="35"/>
      <c r="G371" s="35">
        <v>2</v>
      </c>
      <c r="H371" s="37" t="s">
        <v>114</v>
      </c>
      <c r="I371" s="38">
        <v>3045</v>
      </c>
      <c r="J371" s="39" t="s">
        <v>12</v>
      </c>
      <c r="K371" s="40"/>
      <c r="L371" s="21">
        <v>2321</v>
      </c>
      <c r="M371" s="41"/>
      <c r="N371" s="42" t="s">
        <v>388</v>
      </c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</row>
    <row r="372" spans="1:27" ht="14.25" customHeight="1" x14ac:dyDescent="0.3">
      <c r="A372" s="27">
        <v>4469</v>
      </c>
      <c r="B372" s="26">
        <v>43264</v>
      </c>
      <c r="C372" s="27" t="s">
        <v>213</v>
      </c>
      <c r="D372" s="27" t="s">
        <v>385</v>
      </c>
      <c r="E372" s="27"/>
      <c r="F372" s="27"/>
      <c r="G372" s="27">
        <v>20</v>
      </c>
      <c r="H372" s="28" t="s">
        <v>114</v>
      </c>
      <c r="I372" s="29">
        <v>2899</v>
      </c>
      <c r="J372" s="30"/>
      <c r="K372" s="47" t="s">
        <v>385</v>
      </c>
      <c r="L372" s="45">
        <v>2376</v>
      </c>
      <c r="M372" s="48"/>
      <c r="N372" s="33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14.25" customHeight="1" x14ac:dyDescent="0.3">
      <c r="A373" s="35">
        <f t="shared" ref="A373:A436" si="1">A372+1</f>
        <v>4470</v>
      </c>
      <c r="B373" s="36">
        <v>43270</v>
      </c>
      <c r="C373" s="35"/>
      <c r="D373" s="35" t="s">
        <v>72</v>
      </c>
      <c r="E373" s="35" t="s">
        <v>73</v>
      </c>
      <c r="F373" s="35"/>
      <c r="G373" s="35">
        <v>25</v>
      </c>
      <c r="H373" s="37" t="s">
        <v>50</v>
      </c>
      <c r="I373" s="38">
        <v>4058</v>
      </c>
      <c r="J373" s="39"/>
      <c r="K373" s="35" t="s">
        <v>389</v>
      </c>
      <c r="L373" s="21">
        <v>2891</v>
      </c>
      <c r="M373" s="41" t="s">
        <v>12</v>
      </c>
      <c r="N373" s="42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</row>
    <row r="374" spans="1:27" ht="14.25" customHeight="1" x14ac:dyDescent="0.3">
      <c r="A374" s="27">
        <f t="shared" si="1"/>
        <v>4471</v>
      </c>
      <c r="B374" s="26">
        <v>43270</v>
      </c>
      <c r="C374" s="27"/>
      <c r="D374" s="27" t="s">
        <v>162</v>
      </c>
      <c r="E374" s="27"/>
      <c r="F374" s="27"/>
      <c r="G374" s="27">
        <v>55</v>
      </c>
      <c r="H374" s="28" t="s">
        <v>140</v>
      </c>
      <c r="I374" s="29">
        <v>2995</v>
      </c>
      <c r="J374" s="30" t="s">
        <v>12</v>
      </c>
      <c r="K374" s="47"/>
      <c r="L374" s="45">
        <v>2730</v>
      </c>
      <c r="M374" s="48"/>
      <c r="N374" s="33" t="s">
        <v>162</v>
      </c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14.25" customHeight="1" x14ac:dyDescent="0.3">
      <c r="A375" s="67">
        <f t="shared" si="1"/>
        <v>4472</v>
      </c>
      <c r="B375" s="68">
        <v>43215</v>
      </c>
      <c r="C375" s="67" t="s">
        <v>12</v>
      </c>
      <c r="D375" s="67"/>
      <c r="E375" s="67"/>
      <c r="F375" s="67"/>
      <c r="G375" s="67">
        <v>50</v>
      </c>
      <c r="H375" s="69" t="s">
        <v>39</v>
      </c>
      <c r="I375" s="70">
        <v>2904</v>
      </c>
      <c r="J375" s="71" t="s">
        <v>12</v>
      </c>
      <c r="K375" s="72"/>
      <c r="L375" s="73">
        <v>2904</v>
      </c>
      <c r="M375" s="74" t="s">
        <v>12</v>
      </c>
      <c r="N375" s="75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24"/>
    </row>
    <row r="376" spans="1:27" ht="14.25" customHeight="1" x14ac:dyDescent="0.3">
      <c r="A376" s="27">
        <f t="shared" si="1"/>
        <v>4473</v>
      </c>
      <c r="B376" s="26">
        <v>43215</v>
      </c>
      <c r="C376" s="27" t="s">
        <v>12</v>
      </c>
      <c r="D376" s="27"/>
      <c r="E376" s="27"/>
      <c r="F376" s="27"/>
      <c r="G376" s="27">
        <v>50</v>
      </c>
      <c r="H376" s="28" t="s">
        <v>39</v>
      </c>
      <c r="I376" s="29">
        <v>2985</v>
      </c>
      <c r="J376" s="30" t="s">
        <v>12</v>
      </c>
      <c r="K376" s="47"/>
      <c r="L376" s="45">
        <v>2985</v>
      </c>
      <c r="M376" s="48" t="s">
        <v>12</v>
      </c>
      <c r="N376" s="33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14.25" customHeight="1" x14ac:dyDescent="0.3">
      <c r="A377" s="67">
        <f t="shared" si="1"/>
        <v>4474</v>
      </c>
      <c r="B377" s="68">
        <v>43215</v>
      </c>
      <c r="C377" s="67"/>
      <c r="D377" s="67" t="s">
        <v>390</v>
      </c>
      <c r="E377" s="67"/>
      <c r="F377" s="67"/>
      <c r="G377" s="67">
        <v>55</v>
      </c>
      <c r="H377" s="69" t="s">
        <v>108</v>
      </c>
      <c r="I377" s="70">
        <v>2903</v>
      </c>
      <c r="J377" s="71" t="s">
        <v>12</v>
      </c>
      <c r="K377" s="72"/>
      <c r="L377" s="73">
        <v>2444</v>
      </c>
      <c r="M377" s="74"/>
      <c r="N377" s="75" t="s">
        <v>391</v>
      </c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24"/>
    </row>
    <row r="378" spans="1:27" ht="14.25" customHeight="1" x14ac:dyDescent="0.3">
      <c r="A378" s="27">
        <f t="shared" si="1"/>
        <v>4475</v>
      </c>
      <c r="B378" s="26">
        <v>43215</v>
      </c>
      <c r="C378" s="27"/>
      <c r="D378" s="27" t="s">
        <v>164</v>
      </c>
      <c r="E378" s="27"/>
      <c r="F378" s="27"/>
      <c r="G378" s="27">
        <v>50</v>
      </c>
      <c r="H378" s="28" t="s">
        <v>108</v>
      </c>
      <c r="I378" s="29">
        <v>2531</v>
      </c>
      <c r="J378" s="30"/>
      <c r="K378" s="47" t="s">
        <v>164</v>
      </c>
      <c r="L378" s="45">
        <v>2903</v>
      </c>
      <c r="M378" s="48" t="s">
        <v>12</v>
      </c>
      <c r="N378" s="33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14.25" customHeight="1" x14ac:dyDescent="0.3">
      <c r="A379" s="67">
        <f t="shared" si="1"/>
        <v>4476</v>
      </c>
      <c r="B379" s="68">
        <v>43215</v>
      </c>
      <c r="C379" s="67"/>
      <c r="D379" s="67" t="s">
        <v>207</v>
      </c>
      <c r="E379" s="67"/>
      <c r="F379" s="67"/>
      <c r="G379" s="67">
        <v>14</v>
      </c>
      <c r="H379" s="69" t="s">
        <v>108</v>
      </c>
      <c r="I379" s="70">
        <v>2892</v>
      </c>
      <c r="J379" s="71" t="s">
        <v>12</v>
      </c>
      <c r="K379" s="72"/>
      <c r="L379" s="73">
        <v>2869</v>
      </c>
      <c r="M379" s="74"/>
      <c r="N379" s="75" t="s">
        <v>392</v>
      </c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24"/>
    </row>
    <row r="380" spans="1:27" ht="14.25" customHeight="1" x14ac:dyDescent="0.3">
      <c r="A380" s="27">
        <f t="shared" si="1"/>
        <v>4477</v>
      </c>
      <c r="B380" s="26">
        <v>43215</v>
      </c>
      <c r="C380" s="27"/>
      <c r="D380" s="27" t="s">
        <v>390</v>
      </c>
      <c r="E380" s="27"/>
      <c r="F380" s="27"/>
      <c r="G380" s="27">
        <v>35</v>
      </c>
      <c r="H380" s="28" t="s">
        <v>108</v>
      </c>
      <c r="I380" s="29">
        <v>2903</v>
      </c>
      <c r="J380" s="30" t="s">
        <v>12</v>
      </c>
      <c r="K380" s="47"/>
      <c r="L380" s="45">
        <v>2444</v>
      </c>
      <c r="M380" s="48"/>
      <c r="N380" s="33" t="s">
        <v>391</v>
      </c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14.25" customHeight="1" x14ac:dyDescent="0.3">
      <c r="A381" s="27">
        <f t="shared" si="1"/>
        <v>4478</v>
      </c>
      <c r="B381" s="68">
        <v>43215</v>
      </c>
      <c r="C381" s="67"/>
      <c r="D381" s="67" t="s">
        <v>201</v>
      </c>
      <c r="E381" s="67"/>
      <c r="F381" s="67"/>
      <c r="G381" s="67">
        <v>34</v>
      </c>
      <c r="H381" s="69" t="s">
        <v>393</v>
      </c>
      <c r="I381" s="70">
        <v>2691</v>
      </c>
      <c r="J381" s="71"/>
      <c r="K381" s="72" t="s">
        <v>394</v>
      </c>
      <c r="L381" s="73">
        <v>2891</v>
      </c>
      <c r="M381" s="74" t="s">
        <v>12</v>
      </c>
      <c r="N381" s="75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24"/>
    </row>
    <row r="382" spans="1:27" ht="14.25" customHeight="1" x14ac:dyDescent="0.3">
      <c r="A382" s="27">
        <f t="shared" si="1"/>
        <v>4479</v>
      </c>
      <c r="B382" s="26">
        <v>43215</v>
      </c>
      <c r="C382" s="27"/>
      <c r="D382" s="27" t="s">
        <v>390</v>
      </c>
      <c r="E382" s="27" t="s">
        <v>207</v>
      </c>
      <c r="F382" s="27"/>
      <c r="G382" s="27">
        <v>8</v>
      </c>
      <c r="H382" s="28" t="s">
        <v>108</v>
      </c>
      <c r="I382" s="29">
        <v>2903</v>
      </c>
      <c r="J382" s="30" t="s">
        <v>12</v>
      </c>
      <c r="K382" s="47"/>
      <c r="L382" s="45">
        <v>3033</v>
      </c>
      <c r="M382" s="48"/>
      <c r="N382" s="33" t="s">
        <v>395</v>
      </c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14.25" customHeight="1" x14ac:dyDescent="0.3">
      <c r="A383" s="27">
        <f t="shared" si="1"/>
        <v>4480</v>
      </c>
      <c r="B383" s="68">
        <v>43215</v>
      </c>
      <c r="C383" s="67"/>
      <c r="D383" s="67" t="s">
        <v>201</v>
      </c>
      <c r="E383" s="67"/>
      <c r="F383" s="67"/>
      <c r="G383" s="67">
        <v>50</v>
      </c>
      <c r="H383" s="69" t="s">
        <v>108</v>
      </c>
      <c r="I383" s="70">
        <v>2391</v>
      </c>
      <c r="J383" s="71"/>
      <c r="K383" s="72" t="s">
        <v>394</v>
      </c>
      <c r="L383" s="73">
        <v>2903</v>
      </c>
      <c r="M383" s="74" t="s">
        <v>12</v>
      </c>
      <c r="N383" s="75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24"/>
    </row>
    <row r="384" spans="1:27" ht="14.25" customHeight="1" x14ac:dyDescent="0.3">
      <c r="A384" s="27">
        <f t="shared" si="1"/>
        <v>4481</v>
      </c>
      <c r="B384" s="26">
        <v>43215</v>
      </c>
      <c r="C384" s="27"/>
      <c r="D384" s="27" t="s">
        <v>390</v>
      </c>
      <c r="E384" s="27" t="s">
        <v>162</v>
      </c>
      <c r="F384" s="27"/>
      <c r="G384" s="27">
        <v>10</v>
      </c>
      <c r="H384" s="28" t="s">
        <v>108</v>
      </c>
      <c r="I384" s="29">
        <v>2074</v>
      </c>
      <c r="J384" s="30"/>
      <c r="K384" s="47" t="s">
        <v>396</v>
      </c>
      <c r="L384" s="45">
        <v>2903</v>
      </c>
      <c r="M384" s="48"/>
      <c r="N384" s="33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14.25" customHeight="1" x14ac:dyDescent="0.3">
      <c r="A385" s="27">
        <f t="shared" si="1"/>
        <v>4482</v>
      </c>
      <c r="B385" s="68">
        <v>43215</v>
      </c>
      <c r="C385" s="67"/>
      <c r="D385" s="67" t="s">
        <v>157</v>
      </c>
      <c r="E385" s="67"/>
      <c r="F385" s="67"/>
      <c r="G385" s="67">
        <v>80</v>
      </c>
      <c r="H385" s="69" t="s">
        <v>314</v>
      </c>
      <c r="I385" s="70">
        <v>2126</v>
      </c>
      <c r="J385" s="71"/>
      <c r="K385" s="72" t="s">
        <v>157</v>
      </c>
      <c r="L385" s="73">
        <v>2911</v>
      </c>
      <c r="M385" s="74" t="s">
        <v>85</v>
      </c>
      <c r="N385" s="75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24"/>
    </row>
    <row r="386" spans="1:27" ht="14.25" customHeight="1" x14ac:dyDescent="0.3">
      <c r="A386" s="27">
        <f t="shared" si="1"/>
        <v>4483</v>
      </c>
      <c r="B386" s="26">
        <v>43215</v>
      </c>
      <c r="C386" s="27"/>
      <c r="D386" s="27" t="s">
        <v>157</v>
      </c>
      <c r="E386" s="27"/>
      <c r="F386" s="27"/>
      <c r="G386" s="27">
        <v>49</v>
      </c>
      <c r="H386" s="28" t="s">
        <v>314</v>
      </c>
      <c r="I386" s="29">
        <v>2126</v>
      </c>
      <c r="J386" s="30"/>
      <c r="K386" s="47" t="s">
        <v>157</v>
      </c>
      <c r="L386" s="45">
        <v>2911</v>
      </c>
      <c r="M386" s="48" t="s">
        <v>85</v>
      </c>
      <c r="N386" s="33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14.25" customHeight="1" x14ac:dyDescent="0.3">
      <c r="A387" s="27">
        <f t="shared" si="1"/>
        <v>4484</v>
      </c>
      <c r="B387" s="68">
        <v>43215</v>
      </c>
      <c r="C387" s="67"/>
      <c r="D387" s="67" t="s">
        <v>397</v>
      </c>
      <c r="E387" s="67"/>
      <c r="F387" s="67"/>
      <c r="G387" s="67">
        <v>12</v>
      </c>
      <c r="H387" s="69" t="s">
        <v>140</v>
      </c>
      <c r="I387" s="70">
        <v>2911</v>
      </c>
      <c r="J387" s="71" t="s">
        <v>85</v>
      </c>
      <c r="K387" s="72"/>
      <c r="L387" s="73">
        <v>2907</v>
      </c>
      <c r="M387" s="74"/>
      <c r="N387" s="75" t="s">
        <v>139</v>
      </c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24"/>
    </row>
    <row r="388" spans="1:27" ht="14.25" customHeight="1" x14ac:dyDescent="0.3">
      <c r="A388" s="27">
        <f t="shared" si="1"/>
        <v>4485</v>
      </c>
      <c r="B388" s="26">
        <v>43215</v>
      </c>
      <c r="C388" s="27" t="s">
        <v>398</v>
      </c>
      <c r="D388" s="27" t="s">
        <v>148</v>
      </c>
      <c r="E388" s="27"/>
      <c r="F388" s="27"/>
      <c r="G388" s="27">
        <v>19</v>
      </c>
      <c r="H388" s="28" t="s">
        <v>140</v>
      </c>
      <c r="I388" s="29">
        <v>2211</v>
      </c>
      <c r="J388" s="30" t="s">
        <v>399</v>
      </c>
      <c r="K388" s="47" t="s">
        <v>148</v>
      </c>
      <c r="L388" s="29">
        <v>2211</v>
      </c>
      <c r="M388" s="30" t="s">
        <v>399</v>
      </c>
      <c r="N388" s="47" t="s">
        <v>148</v>
      </c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14.25" customHeight="1" x14ac:dyDescent="0.3">
      <c r="A389" s="27">
        <f t="shared" si="1"/>
        <v>4486</v>
      </c>
      <c r="B389" s="68">
        <v>43215</v>
      </c>
      <c r="C389" s="67" t="s">
        <v>398</v>
      </c>
      <c r="D389" s="67" t="s">
        <v>148</v>
      </c>
      <c r="E389" s="67"/>
      <c r="F389" s="67"/>
      <c r="G389" s="67">
        <v>19</v>
      </c>
      <c r="H389" s="69" t="s">
        <v>140</v>
      </c>
      <c r="I389" s="70">
        <v>2211</v>
      </c>
      <c r="J389" s="71" t="s">
        <v>399</v>
      </c>
      <c r="K389" s="72" t="s">
        <v>148</v>
      </c>
      <c r="L389" s="70">
        <v>2211</v>
      </c>
      <c r="M389" s="71" t="s">
        <v>399</v>
      </c>
      <c r="N389" s="72" t="s">
        <v>148</v>
      </c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24"/>
    </row>
    <row r="390" spans="1:27" ht="14.25" customHeight="1" x14ac:dyDescent="0.3">
      <c r="A390" s="27">
        <f t="shared" si="1"/>
        <v>4487</v>
      </c>
      <c r="B390" s="26">
        <v>43215</v>
      </c>
      <c r="C390" s="27"/>
      <c r="D390" s="27" t="s">
        <v>157</v>
      </c>
      <c r="E390" s="27"/>
      <c r="F390" s="27"/>
      <c r="G390" s="27">
        <v>30</v>
      </c>
      <c r="H390" s="28" t="s">
        <v>140</v>
      </c>
      <c r="I390" s="29">
        <v>2911</v>
      </c>
      <c r="J390" s="30" t="s">
        <v>85</v>
      </c>
      <c r="K390" s="47"/>
      <c r="L390" s="45">
        <v>2922</v>
      </c>
      <c r="M390" s="48"/>
      <c r="N390" s="33" t="s">
        <v>157</v>
      </c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14.25" customHeight="1" x14ac:dyDescent="0.3">
      <c r="A391" s="27">
        <f t="shared" si="1"/>
        <v>4488</v>
      </c>
      <c r="B391" s="68">
        <v>43215</v>
      </c>
      <c r="C391" s="67" t="s">
        <v>52</v>
      </c>
      <c r="D391" s="67"/>
      <c r="E391" s="67"/>
      <c r="F391" s="67"/>
      <c r="G391" s="67">
        <v>74</v>
      </c>
      <c r="H391" s="69" t="s">
        <v>140</v>
      </c>
      <c r="I391" s="70" t="s">
        <v>83</v>
      </c>
      <c r="J391" s="71" t="s">
        <v>52</v>
      </c>
      <c r="K391" s="72"/>
      <c r="L391" s="73" t="s">
        <v>83</v>
      </c>
      <c r="M391" s="74" t="s">
        <v>52</v>
      </c>
      <c r="N391" s="75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24"/>
    </row>
    <row r="392" spans="1:27" ht="14.25" customHeight="1" x14ac:dyDescent="0.3">
      <c r="A392" s="27">
        <f t="shared" si="1"/>
        <v>4489</v>
      </c>
      <c r="B392" s="26">
        <v>43215</v>
      </c>
      <c r="C392" s="27"/>
      <c r="D392" s="27" t="s">
        <v>148</v>
      </c>
      <c r="E392" s="27"/>
      <c r="F392" s="27"/>
      <c r="G392" s="27">
        <v>87</v>
      </c>
      <c r="H392" s="28" t="s">
        <v>165</v>
      </c>
      <c r="I392" s="29">
        <v>2681</v>
      </c>
      <c r="J392" s="30"/>
      <c r="K392" s="47" t="s">
        <v>148</v>
      </c>
      <c r="L392" s="45">
        <v>2912</v>
      </c>
      <c r="M392" s="48" t="s">
        <v>85</v>
      </c>
      <c r="N392" s="33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14.25" customHeight="1" x14ac:dyDescent="0.3">
      <c r="A393" s="27">
        <f t="shared" si="1"/>
        <v>4490</v>
      </c>
      <c r="B393" s="68">
        <v>43215</v>
      </c>
      <c r="C393" s="67"/>
      <c r="D393" s="67" t="s">
        <v>148</v>
      </c>
      <c r="E393" s="67"/>
      <c r="F393" s="67"/>
      <c r="G393" s="67">
        <v>68</v>
      </c>
      <c r="H393" s="69" t="s">
        <v>165</v>
      </c>
      <c r="I393" s="70">
        <v>2681</v>
      </c>
      <c r="J393" s="71"/>
      <c r="K393" s="72" t="s">
        <v>148</v>
      </c>
      <c r="L393" s="73">
        <v>2912</v>
      </c>
      <c r="M393" s="74" t="s">
        <v>85</v>
      </c>
      <c r="N393" s="75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24"/>
    </row>
    <row r="394" spans="1:27" ht="14.25" customHeight="1" x14ac:dyDescent="0.3">
      <c r="A394" s="25">
        <f t="shared" si="1"/>
        <v>4491</v>
      </c>
      <c r="B394" s="26">
        <v>43272</v>
      </c>
      <c r="C394" s="27"/>
      <c r="D394" s="27" t="s">
        <v>378</v>
      </c>
      <c r="E394" s="27"/>
      <c r="F394" s="27"/>
      <c r="G394" s="27">
        <v>20</v>
      </c>
      <c r="H394" s="28" t="s">
        <v>379</v>
      </c>
      <c r="I394" s="29">
        <v>2849</v>
      </c>
      <c r="J394" s="30"/>
      <c r="K394" s="27" t="s">
        <v>378</v>
      </c>
      <c r="L394" s="45">
        <v>2849</v>
      </c>
      <c r="N394" s="27" t="s">
        <v>378</v>
      </c>
      <c r="O394" s="34"/>
      <c r="P394" s="34"/>
      <c r="Q394" s="34"/>
      <c r="R394" s="34"/>
      <c r="S394" s="34"/>
      <c r="T394" s="77"/>
      <c r="U394" s="77"/>
      <c r="V394" s="77"/>
      <c r="W394" s="77"/>
      <c r="X394" s="77"/>
      <c r="Y394" s="77"/>
      <c r="Z394" s="77"/>
      <c r="AA394" s="34"/>
    </row>
    <row r="395" spans="1:27" ht="14.25" customHeight="1" x14ac:dyDescent="0.3">
      <c r="A395" s="35">
        <f t="shared" si="1"/>
        <v>4492</v>
      </c>
      <c r="B395" s="36">
        <v>43276</v>
      </c>
      <c r="C395" s="35" t="s">
        <v>400</v>
      </c>
      <c r="D395" s="35"/>
      <c r="E395" s="35"/>
      <c r="F395" s="35"/>
      <c r="G395" s="35">
        <v>100</v>
      </c>
      <c r="H395" s="37" t="s">
        <v>50</v>
      </c>
      <c r="I395" s="38" t="s">
        <v>401</v>
      </c>
      <c r="J395" s="39"/>
      <c r="K395" s="40"/>
      <c r="L395" s="21" t="s">
        <v>401</v>
      </c>
      <c r="M395" s="41" t="s">
        <v>319</v>
      </c>
      <c r="N395" s="42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</row>
    <row r="396" spans="1:27" ht="14.25" customHeight="1" x14ac:dyDescent="0.3">
      <c r="A396" s="27">
        <f t="shared" si="1"/>
        <v>4493</v>
      </c>
      <c r="B396" s="26">
        <v>43276</v>
      </c>
      <c r="C396" s="27" t="s">
        <v>400</v>
      </c>
      <c r="D396" s="27"/>
      <c r="E396" s="27"/>
      <c r="F396" s="27"/>
      <c r="G396" s="27">
        <v>100</v>
      </c>
      <c r="H396" s="28" t="s">
        <v>50</v>
      </c>
      <c r="I396" s="29" t="s">
        <v>401</v>
      </c>
      <c r="J396" s="30"/>
      <c r="K396" s="47"/>
      <c r="L396" s="45" t="s">
        <v>401</v>
      </c>
      <c r="M396" s="48" t="s">
        <v>319</v>
      </c>
      <c r="N396" s="33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14.25" customHeight="1" x14ac:dyDescent="0.3">
      <c r="A397" s="35">
        <f t="shared" si="1"/>
        <v>4494</v>
      </c>
      <c r="B397" s="36">
        <v>43277</v>
      </c>
      <c r="C397" s="35"/>
      <c r="D397" s="35" t="s">
        <v>402</v>
      </c>
      <c r="E397" s="35" t="s">
        <v>403</v>
      </c>
      <c r="F397" s="35"/>
      <c r="G397" s="35">
        <v>75</v>
      </c>
      <c r="H397" s="37" t="s">
        <v>39</v>
      </c>
      <c r="I397" s="38" t="s">
        <v>404</v>
      </c>
      <c r="J397" s="39"/>
      <c r="K397" s="35" t="s">
        <v>402</v>
      </c>
      <c r="L397" s="21" t="s">
        <v>404</v>
      </c>
      <c r="M397" s="41"/>
      <c r="N397" s="35" t="s">
        <v>403</v>
      </c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</row>
    <row r="398" spans="1:27" ht="14.25" customHeight="1" x14ac:dyDescent="0.3">
      <c r="A398" s="25">
        <f t="shared" si="1"/>
        <v>4495</v>
      </c>
      <c r="B398" s="26">
        <v>43278</v>
      </c>
      <c r="C398" s="27"/>
      <c r="D398" s="27" t="s">
        <v>405</v>
      </c>
      <c r="E398" s="27"/>
      <c r="F398" s="27"/>
      <c r="G398" s="27">
        <v>75</v>
      </c>
      <c r="H398" s="28" t="s">
        <v>379</v>
      </c>
      <c r="I398" s="29" t="s">
        <v>406</v>
      </c>
      <c r="J398" s="30"/>
      <c r="K398" s="27" t="s">
        <v>405</v>
      </c>
      <c r="L398" s="29" t="s">
        <v>406</v>
      </c>
      <c r="M398" s="30"/>
      <c r="N398" s="27" t="s">
        <v>405</v>
      </c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14.25" customHeight="1" x14ac:dyDescent="0.3">
      <c r="A399" s="35">
        <f t="shared" si="1"/>
        <v>4496</v>
      </c>
      <c r="B399" s="36">
        <v>43280</v>
      </c>
      <c r="C399" s="35"/>
      <c r="D399" s="35" t="s">
        <v>407</v>
      </c>
      <c r="E399" s="35"/>
      <c r="F399" s="35"/>
      <c r="G399" s="35">
        <v>40</v>
      </c>
      <c r="H399" s="37" t="s">
        <v>316</v>
      </c>
      <c r="I399" s="38"/>
      <c r="J399" s="39"/>
      <c r="K399" s="40"/>
      <c r="L399" s="21"/>
      <c r="M399" s="41"/>
      <c r="N399" s="42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</row>
    <row r="400" spans="1:27" ht="14.25" customHeight="1" x14ac:dyDescent="0.3">
      <c r="A400" s="27">
        <f t="shared" si="1"/>
        <v>4497</v>
      </c>
      <c r="B400" s="26">
        <v>43277</v>
      </c>
      <c r="C400" s="27"/>
      <c r="D400" s="27" t="s">
        <v>408</v>
      </c>
      <c r="E400" s="27"/>
      <c r="F400" s="27"/>
      <c r="G400" s="27">
        <v>22</v>
      </c>
      <c r="H400" s="28" t="s">
        <v>33</v>
      </c>
      <c r="I400" s="29">
        <v>2531</v>
      </c>
      <c r="J400" s="30"/>
      <c r="K400" s="47" t="s">
        <v>408</v>
      </c>
      <c r="L400" s="45">
        <v>2752</v>
      </c>
      <c r="M400" s="48"/>
      <c r="N400" s="33" t="s">
        <v>87</v>
      </c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14.25" customHeight="1" x14ac:dyDescent="0.3">
      <c r="A401" s="35">
        <f t="shared" si="1"/>
        <v>4498</v>
      </c>
      <c r="B401" s="36">
        <v>43277</v>
      </c>
      <c r="C401" s="35"/>
      <c r="D401" s="35" t="s">
        <v>87</v>
      </c>
      <c r="E401" s="35"/>
      <c r="F401" s="35"/>
      <c r="G401" s="35">
        <v>35</v>
      </c>
      <c r="H401" s="37" t="s">
        <v>33</v>
      </c>
      <c r="I401" s="38">
        <v>2531</v>
      </c>
      <c r="J401" s="39"/>
      <c r="K401" s="40" t="s">
        <v>408</v>
      </c>
      <c r="L401" s="21" t="s">
        <v>409</v>
      </c>
      <c r="M401" s="41"/>
      <c r="N401" s="42" t="s">
        <v>87</v>
      </c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</row>
    <row r="402" spans="1:27" ht="14.25" customHeight="1" x14ac:dyDescent="0.3">
      <c r="A402" s="27">
        <f t="shared" si="1"/>
        <v>4499</v>
      </c>
      <c r="B402" s="26">
        <v>43277</v>
      </c>
      <c r="C402" s="27"/>
      <c r="D402" s="27" t="s">
        <v>87</v>
      </c>
      <c r="E402" s="27" t="s">
        <v>410</v>
      </c>
      <c r="F402" s="27"/>
      <c r="G402" s="27">
        <v>20</v>
      </c>
      <c r="H402" s="28" t="s">
        <v>33</v>
      </c>
      <c r="I402" s="29">
        <v>2531</v>
      </c>
      <c r="J402" s="30"/>
      <c r="K402" s="47" t="s">
        <v>408</v>
      </c>
      <c r="L402" s="45" t="s">
        <v>409</v>
      </c>
      <c r="M402" s="48"/>
      <c r="N402" s="33" t="s">
        <v>87</v>
      </c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14.25" customHeight="1" x14ac:dyDescent="0.3">
      <c r="A403" s="35">
        <f t="shared" si="1"/>
        <v>4500</v>
      </c>
      <c r="B403" s="36">
        <v>43278</v>
      </c>
      <c r="C403" s="35" t="s">
        <v>213</v>
      </c>
      <c r="D403" s="35" t="s">
        <v>411</v>
      </c>
      <c r="E403" s="35"/>
      <c r="F403" s="35"/>
      <c r="G403" s="35">
        <v>25</v>
      </c>
      <c r="H403" s="37" t="s">
        <v>114</v>
      </c>
      <c r="I403" s="38">
        <v>2376</v>
      </c>
      <c r="J403" s="39" t="s">
        <v>214</v>
      </c>
      <c r="K403" s="40"/>
      <c r="L403" s="21">
        <v>4252</v>
      </c>
      <c r="M403" s="41"/>
      <c r="N403" s="42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</row>
    <row r="404" spans="1:27" ht="14.25" customHeight="1" x14ac:dyDescent="0.3">
      <c r="A404" s="27">
        <f t="shared" si="1"/>
        <v>4501</v>
      </c>
      <c r="B404" s="26">
        <v>43279</v>
      </c>
      <c r="C404" s="27"/>
      <c r="D404" s="27" t="s">
        <v>297</v>
      </c>
      <c r="E404" s="27" t="s">
        <v>412</v>
      </c>
      <c r="F404" s="27"/>
      <c r="G404" s="27">
        <v>22</v>
      </c>
      <c r="H404" s="28" t="s">
        <v>33</v>
      </c>
      <c r="I404" s="29">
        <v>4217</v>
      </c>
      <c r="J404" s="30"/>
      <c r="K404" s="27" t="s">
        <v>413</v>
      </c>
      <c r="L404" s="45">
        <v>4276</v>
      </c>
      <c r="M404" s="48"/>
      <c r="N404" s="33" t="s">
        <v>297</v>
      </c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14.25" customHeight="1" x14ac:dyDescent="0.3">
      <c r="A405" s="35">
        <f t="shared" si="1"/>
        <v>4502</v>
      </c>
      <c r="B405" s="36">
        <v>43279</v>
      </c>
      <c r="C405" s="35"/>
      <c r="D405" s="35" t="s">
        <v>297</v>
      </c>
      <c r="E405" s="35" t="s">
        <v>412</v>
      </c>
      <c r="F405" s="35" t="s">
        <v>219</v>
      </c>
      <c r="G405" s="35">
        <v>11</v>
      </c>
      <c r="H405" s="37" t="s">
        <v>33</v>
      </c>
      <c r="I405" s="38">
        <v>4217</v>
      </c>
      <c r="J405" s="39"/>
      <c r="K405" s="35" t="s">
        <v>413</v>
      </c>
      <c r="L405" s="21">
        <v>4276</v>
      </c>
      <c r="M405" s="41"/>
      <c r="N405" s="42" t="s">
        <v>297</v>
      </c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</row>
    <row r="406" spans="1:27" ht="14.25" customHeight="1" x14ac:dyDescent="0.3">
      <c r="A406" s="27">
        <f t="shared" si="1"/>
        <v>4503</v>
      </c>
      <c r="B406" s="26">
        <v>43279</v>
      </c>
      <c r="C406" s="27"/>
      <c r="D406" s="27" t="s">
        <v>223</v>
      </c>
      <c r="E406" s="27" t="s">
        <v>414</v>
      </c>
      <c r="F406" s="27"/>
      <c r="G406" s="27">
        <v>35</v>
      </c>
      <c r="H406" s="28" t="s">
        <v>33</v>
      </c>
      <c r="I406" s="29">
        <v>2695</v>
      </c>
      <c r="J406" s="30"/>
      <c r="K406" s="27" t="s">
        <v>223</v>
      </c>
      <c r="L406" s="45">
        <v>2895</v>
      </c>
      <c r="M406" s="48" t="s">
        <v>85</v>
      </c>
      <c r="N406" s="33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14.25" customHeight="1" x14ac:dyDescent="0.3">
      <c r="A407" s="35">
        <f t="shared" si="1"/>
        <v>4504</v>
      </c>
      <c r="B407" s="54">
        <v>43282</v>
      </c>
      <c r="C407" s="35" t="s">
        <v>415</v>
      </c>
      <c r="D407" s="35"/>
      <c r="E407" s="35"/>
      <c r="F407" s="35"/>
      <c r="G407" s="35">
        <v>50</v>
      </c>
      <c r="H407" s="37" t="s">
        <v>50</v>
      </c>
      <c r="I407" s="38">
        <v>2664</v>
      </c>
      <c r="J407" s="39" t="s">
        <v>12</v>
      </c>
      <c r="K407" s="40"/>
      <c r="L407" s="21">
        <v>2664</v>
      </c>
      <c r="M407" s="41" t="s">
        <v>12</v>
      </c>
      <c r="N407" s="42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</row>
    <row r="408" spans="1:27" ht="14.25" customHeight="1" x14ac:dyDescent="0.3">
      <c r="A408" s="27">
        <f t="shared" si="1"/>
        <v>4505</v>
      </c>
      <c r="B408" s="53">
        <v>43288</v>
      </c>
      <c r="C408" s="27" t="s">
        <v>416</v>
      </c>
      <c r="D408" s="27"/>
      <c r="E408" s="27"/>
      <c r="F408" s="27"/>
      <c r="G408" s="27">
        <v>50</v>
      </c>
      <c r="H408" s="28" t="s">
        <v>114</v>
      </c>
      <c r="I408" s="29">
        <v>3133</v>
      </c>
      <c r="J408" s="30" t="s">
        <v>417</v>
      </c>
      <c r="K408" s="47"/>
      <c r="L408" s="45">
        <v>3133</v>
      </c>
      <c r="M408" s="48" t="s">
        <v>417</v>
      </c>
      <c r="N408" s="33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14.25" customHeight="1" x14ac:dyDescent="0.3">
      <c r="A409" s="35">
        <f t="shared" si="1"/>
        <v>4506</v>
      </c>
      <c r="B409" s="36">
        <v>43288</v>
      </c>
      <c r="C409" s="35" t="s">
        <v>418</v>
      </c>
      <c r="D409" s="35"/>
      <c r="E409" s="35"/>
      <c r="F409" s="35"/>
      <c r="G409" s="35">
        <v>50</v>
      </c>
      <c r="H409" s="37" t="s">
        <v>114</v>
      </c>
      <c r="I409" s="38">
        <v>3133</v>
      </c>
      <c r="J409" s="39" t="s">
        <v>417</v>
      </c>
      <c r="K409" s="40"/>
      <c r="L409" s="21">
        <v>3133</v>
      </c>
      <c r="M409" s="41" t="s">
        <v>417</v>
      </c>
      <c r="N409" s="42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</row>
    <row r="410" spans="1:27" ht="14.25" customHeight="1" x14ac:dyDescent="0.3">
      <c r="A410" s="27">
        <f t="shared" si="1"/>
        <v>4507</v>
      </c>
      <c r="B410" s="26">
        <v>43288</v>
      </c>
      <c r="C410" s="27" t="s">
        <v>419</v>
      </c>
      <c r="D410" s="27"/>
      <c r="E410" s="27"/>
      <c r="F410" s="27"/>
      <c r="G410" s="27">
        <v>100</v>
      </c>
      <c r="H410" s="28" t="s">
        <v>114</v>
      </c>
      <c r="I410" s="29">
        <v>3134</v>
      </c>
      <c r="J410" s="30" t="s">
        <v>420</v>
      </c>
      <c r="K410" s="47"/>
      <c r="L410" s="45">
        <v>3134</v>
      </c>
      <c r="M410" s="48"/>
      <c r="N410" s="33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14.25" customHeight="1" x14ac:dyDescent="0.3">
      <c r="A411" s="35">
        <f t="shared" si="1"/>
        <v>4508</v>
      </c>
      <c r="B411" s="36">
        <v>43287</v>
      </c>
      <c r="C411" s="35" t="s">
        <v>415</v>
      </c>
      <c r="D411" s="35" t="s">
        <v>70</v>
      </c>
      <c r="E411" s="35" t="s">
        <v>276</v>
      </c>
      <c r="F411" s="35"/>
      <c r="G411" s="35">
        <v>80</v>
      </c>
      <c r="H411" s="37" t="s">
        <v>50</v>
      </c>
      <c r="I411" s="38">
        <v>2927</v>
      </c>
      <c r="J411" s="39" t="s">
        <v>12</v>
      </c>
      <c r="K411" s="40"/>
      <c r="L411" s="21">
        <v>3100</v>
      </c>
      <c r="M411" s="41"/>
      <c r="N411" s="42" t="s">
        <v>70</v>
      </c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</row>
    <row r="412" spans="1:27" ht="14.25" customHeight="1" x14ac:dyDescent="0.3">
      <c r="A412" s="27">
        <f t="shared" si="1"/>
        <v>4509</v>
      </c>
      <c r="B412" s="26">
        <v>43289</v>
      </c>
      <c r="C412" s="27"/>
      <c r="D412" s="27" t="s">
        <v>180</v>
      </c>
      <c r="E412" s="27"/>
      <c r="F412" s="27"/>
      <c r="G412" s="27">
        <v>50</v>
      </c>
      <c r="H412" s="28" t="s">
        <v>50</v>
      </c>
      <c r="I412" s="29">
        <v>2328</v>
      </c>
      <c r="J412" s="30"/>
      <c r="K412" s="27" t="s">
        <v>180</v>
      </c>
      <c r="L412" s="45">
        <v>2328</v>
      </c>
      <c r="M412" s="48"/>
      <c r="N412" s="27" t="s">
        <v>180</v>
      </c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14.25" customHeight="1" x14ac:dyDescent="0.3">
      <c r="A413" s="35">
        <f t="shared" si="1"/>
        <v>4510</v>
      </c>
      <c r="B413" s="36">
        <v>43289</v>
      </c>
      <c r="C413" s="35"/>
      <c r="D413" s="35" t="s">
        <v>180</v>
      </c>
      <c r="E413" s="35" t="s">
        <v>162</v>
      </c>
      <c r="F413" s="35"/>
      <c r="G413" s="35">
        <v>8</v>
      </c>
      <c r="H413" s="37" t="s">
        <v>50</v>
      </c>
      <c r="I413" s="38">
        <v>4183</v>
      </c>
      <c r="J413" s="39"/>
      <c r="K413" s="40" t="s">
        <v>162</v>
      </c>
      <c r="L413" s="21">
        <v>4170</v>
      </c>
      <c r="M413" s="41"/>
      <c r="N413" s="35" t="s">
        <v>180</v>
      </c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</row>
    <row r="414" spans="1:27" ht="14.25" customHeight="1" x14ac:dyDescent="0.3">
      <c r="A414" s="27">
        <f t="shared" si="1"/>
        <v>4511</v>
      </c>
      <c r="B414" s="26">
        <v>43289</v>
      </c>
      <c r="C414" s="27"/>
      <c r="D414" s="27" t="s">
        <v>162</v>
      </c>
      <c r="E414" s="27"/>
      <c r="F414" s="27"/>
      <c r="G414" s="27">
        <v>10</v>
      </c>
      <c r="H414" s="28" t="s">
        <v>50</v>
      </c>
      <c r="I414" s="29">
        <v>4183</v>
      </c>
      <c r="J414" s="30"/>
      <c r="K414" s="47" t="s">
        <v>162</v>
      </c>
      <c r="L414" s="45">
        <v>4170</v>
      </c>
      <c r="M414" s="48"/>
      <c r="N414" s="27" t="s">
        <v>180</v>
      </c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14.25" customHeight="1" x14ac:dyDescent="0.3">
      <c r="A415" s="35">
        <f t="shared" si="1"/>
        <v>4512</v>
      </c>
      <c r="B415" s="36">
        <v>43290</v>
      </c>
      <c r="C415" s="35" t="s">
        <v>421</v>
      </c>
      <c r="D415" s="35"/>
      <c r="E415" s="35"/>
      <c r="F415" s="35"/>
      <c r="G415" s="35">
        <v>75</v>
      </c>
      <c r="H415" s="37" t="s">
        <v>114</v>
      </c>
      <c r="I415" s="38">
        <v>3045</v>
      </c>
      <c r="J415" s="39" t="s">
        <v>85</v>
      </c>
      <c r="K415" s="40"/>
      <c r="L415" s="21">
        <v>3045</v>
      </c>
      <c r="M415" s="41" t="s">
        <v>85</v>
      </c>
      <c r="N415" s="42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</row>
    <row r="416" spans="1:27" ht="14.25" customHeight="1" x14ac:dyDescent="0.3">
      <c r="A416" s="27">
        <f t="shared" si="1"/>
        <v>4513</v>
      </c>
      <c r="B416" s="26">
        <v>43294</v>
      </c>
      <c r="C416" s="27"/>
      <c r="D416" s="27" t="s">
        <v>422</v>
      </c>
      <c r="E416" s="27"/>
      <c r="F416" s="27"/>
      <c r="G416" s="27">
        <v>65</v>
      </c>
      <c r="H416" s="28" t="s">
        <v>13</v>
      </c>
      <c r="I416" s="29"/>
      <c r="J416" s="30"/>
      <c r="K416" s="47"/>
      <c r="L416" s="45"/>
      <c r="M416" s="48"/>
      <c r="N416" s="33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14.25" customHeight="1" x14ac:dyDescent="0.3">
      <c r="A417" s="35">
        <f t="shared" si="1"/>
        <v>4514</v>
      </c>
      <c r="B417" s="78">
        <v>43291</v>
      </c>
      <c r="C417" s="35"/>
      <c r="D417" s="35" t="s">
        <v>329</v>
      </c>
      <c r="E417" s="35"/>
      <c r="F417" s="35"/>
      <c r="G417" s="35">
        <v>100</v>
      </c>
      <c r="H417" s="37" t="s">
        <v>251</v>
      </c>
      <c r="I417" s="38">
        <v>2409</v>
      </c>
      <c r="J417" s="39"/>
      <c r="K417" s="35" t="s">
        <v>329</v>
      </c>
      <c r="L417" s="21">
        <v>2409</v>
      </c>
      <c r="M417" s="41"/>
      <c r="N417" s="35" t="s">
        <v>329</v>
      </c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</row>
    <row r="418" spans="1:27" ht="14.25" customHeight="1" x14ac:dyDescent="0.3">
      <c r="A418" s="27">
        <f t="shared" si="1"/>
        <v>4515</v>
      </c>
      <c r="B418" s="79">
        <v>43291</v>
      </c>
      <c r="C418" s="27"/>
      <c r="D418" s="27" t="s">
        <v>329</v>
      </c>
      <c r="E418" s="27"/>
      <c r="F418" s="27"/>
      <c r="G418" s="27">
        <v>100</v>
      </c>
      <c r="H418" s="28" t="s">
        <v>195</v>
      </c>
      <c r="I418" s="29">
        <v>2409</v>
      </c>
      <c r="J418" s="30"/>
      <c r="K418" s="27" t="s">
        <v>329</v>
      </c>
      <c r="L418" s="45">
        <v>2409</v>
      </c>
      <c r="M418" s="48"/>
      <c r="N418" s="27" t="s">
        <v>329</v>
      </c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14.25" customHeight="1" x14ac:dyDescent="0.3">
      <c r="A419" s="35">
        <f t="shared" si="1"/>
        <v>4516</v>
      </c>
      <c r="B419" s="36">
        <v>43292</v>
      </c>
      <c r="C419" s="35" t="s">
        <v>423</v>
      </c>
      <c r="D419" s="35"/>
      <c r="E419" s="35"/>
      <c r="F419" s="35"/>
      <c r="G419" s="35">
        <v>50</v>
      </c>
      <c r="H419" s="37" t="s">
        <v>50</v>
      </c>
      <c r="I419" s="38">
        <v>3044</v>
      </c>
      <c r="J419" s="39" t="s">
        <v>12</v>
      </c>
      <c r="K419" s="40"/>
      <c r="L419" s="21">
        <v>3044</v>
      </c>
      <c r="M419" s="41" t="s">
        <v>12</v>
      </c>
      <c r="N419" s="42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</row>
    <row r="420" spans="1:27" ht="14.25" customHeight="1" x14ac:dyDescent="0.3">
      <c r="A420" s="27">
        <f t="shared" si="1"/>
        <v>4517</v>
      </c>
      <c r="B420" s="26">
        <v>43292</v>
      </c>
      <c r="C420" s="27"/>
      <c r="D420" s="27" t="s">
        <v>424</v>
      </c>
      <c r="E420" s="27"/>
      <c r="F420" s="27"/>
      <c r="G420" s="27">
        <v>25</v>
      </c>
      <c r="H420" s="28" t="s">
        <v>50</v>
      </c>
      <c r="I420" s="29">
        <v>3044</v>
      </c>
      <c r="J420" s="30" t="s">
        <v>12</v>
      </c>
      <c r="K420" s="47"/>
      <c r="L420" s="45">
        <v>3044</v>
      </c>
      <c r="M420" s="48" t="s">
        <v>12</v>
      </c>
      <c r="N420" s="33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14.25" customHeight="1" x14ac:dyDescent="0.3">
      <c r="A421" s="35">
        <f t="shared" si="1"/>
        <v>4518</v>
      </c>
      <c r="B421" s="36">
        <v>43292</v>
      </c>
      <c r="C421" s="35" t="s">
        <v>425</v>
      </c>
      <c r="D421" s="35" t="s">
        <v>49</v>
      </c>
      <c r="E421" s="35"/>
      <c r="F421" s="35"/>
      <c r="G421" s="35">
        <v>50</v>
      </c>
      <c r="H421" s="37" t="s">
        <v>50</v>
      </c>
      <c r="I421" s="38">
        <v>2688</v>
      </c>
      <c r="J421" s="39" t="s">
        <v>69</v>
      </c>
      <c r="K421" s="40" t="s">
        <v>49</v>
      </c>
      <c r="L421" s="21">
        <v>2891</v>
      </c>
      <c r="M421" s="41" t="s">
        <v>12</v>
      </c>
      <c r="N421" s="42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</row>
    <row r="422" spans="1:27" ht="14.25" customHeight="1" x14ac:dyDescent="0.3">
      <c r="A422" s="27">
        <f t="shared" si="1"/>
        <v>4519</v>
      </c>
      <c r="B422" s="26">
        <v>43292</v>
      </c>
      <c r="C422" s="27" t="s">
        <v>426</v>
      </c>
      <c r="D422" s="27" t="s">
        <v>162</v>
      </c>
      <c r="E422" s="27" t="s">
        <v>276</v>
      </c>
      <c r="F422" s="27"/>
      <c r="G422" s="27">
        <v>20</v>
      </c>
      <c r="H422" s="28" t="s">
        <v>50</v>
      </c>
      <c r="I422" s="29">
        <v>2976</v>
      </c>
      <c r="J422" s="30" t="s">
        <v>427</v>
      </c>
      <c r="K422" s="47" t="s">
        <v>57</v>
      </c>
      <c r="L422" s="45">
        <v>2452</v>
      </c>
      <c r="M422" s="48"/>
      <c r="N422" s="33" t="s">
        <v>162</v>
      </c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14.25" customHeight="1" x14ac:dyDescent="0.3">
      <c r="A423" s="35">
        <f t="shared" si="1"/>
        <v>4520</v>
      </c>
      <c r="B423" s="36">
        <v>43292</v>
      </c>
      <c r="C423" s="35"/>
      <c r="D423" s="35" t="s">
        <v>428</v>
      </c>
      <c r="E423" s="35"/>
      <c r="F423" s="35"/>
      <c r="G423" s="35">
        <v>100</v>
      </c>
      <c r="H423" s="37" t="s">
        <v>298</v>
      </c>
      <c r="I423" s="38" t="s">
        <v>429</v>
      </c>
      <c r="J423" s="39" t="s">
        <v>257</v>
      </c>
      <c r="K423" s="40" t="s">
        <v>430</v>
      </c>
      <c r="L423" s="38" t="s">
        <v>429</v>
      </c>
      <c r="M423" s="39" t="s">
        <v>257</v>
      </c>
      <c r="N423" s="40" t="s">
        <v>430</v>
      </c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</row>
    <row r="424" spans="1:27" ht="14.25" customHeight="1" x14ac:dyDescent="0.3">
      <c r="A424" s="27">
        <f t="shared" si="1"/>
        <v>4521</v>
      </c>
      <c r="B424" s="26">
        <v>43293</v>
      </c>
      <c r="C424" s="27" t="s">
        <v>425</v>
      </c>
      <c r="D424" s="27" t="s">
        <v>279</v>
      </c>
      <c r="E424" s="27" t="s">
        <v>385</v>
      </c>
      <c r="F424" s="27"/>
      <c r="G424" s="27">
        <v>25</v>
      </c>
      <c r="H424" s="28" t="s">
        <v>379</v>
      </c>
      <c r="I424" s="29">
        <v>2688</v>
      </c>
      <c r="J424" s="30" t="s">
        <v>69</v>
      </c>
      <c r="K424" s="47" t="s">
        <v>49</v>
      </c>
      <c r="L424" s="45">
        <v>4183</v>
      </c>
      <c r="M424" s="48"/>
      <c r="N424" s="47" t="s">
        <v>385</v>
      </c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14.25" customHeight="1" x14ac:dyDescent="0.3">
      <c r="A425" s="35">
        <f t="shared" si="1"/>
        <v>4522</v>
      </c>
      <c r="B425" s="36">
        <v>43296</v>
      </c>
      <c r="C425" s="35"/>
      <c r="D425" s="35" t="s">
        <v>272</v>
      </c>
      <c r="E425" s="35"/>
      <c r="F425" s="35"/>
      <c r="G425" s="35">
        <v>20</v>
      </c>
      <c r="H425" s="37" t="s">
        <v>114</v>
      </c>
      <c r="I425" s="38">
        <v>3154</v>
      </c>
      <c r="J425" s="39"/>
      <c r="K425" s="40" t="s">
        <v>272</v>
      </c>
      <c r="L425" s="21">
        <v>3045</v>
      </c>
      <c r="M425" s="41" t="s">
        <v>85</v>
      </c>
      <c r="N425" s="42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</row>
    <row r="426" spans="1:27" ht="14.25" customHeight="1" x14ac:dyDescent="0.3">
      <c r="A426" s="27">
        <f t="shared" si="1"/>
        <v>4523</v>
      </c>
      <c r="B426" s="26">
        <v>43297</v>
      </c>
      <c r="C426" s="27"/>
      <c r="D426" s="27" t="s">
        <v>385</v>
      </c>
      <c r="E426" s="27"/>
      <c r="F426" s="27"/>
      <c r="G426" s="27">
        <v>10</v>
      </c>
      <c r="H426" s="28" t="s">
        <v>114</v>
      </c>
      <c r="I426" s="29">
        <v>3045</v>
      </c>
      <c r="J426" s="30" t="s">
        <v>85</v>
      </c>
      <c r="K426" s="47"/>
      <c r="L426" s="45">
        <v>2865</v>
      </c>
      <c r="M426" s="48"/>
      <c r="N426" s="33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14.25" customHeight="1" x14ac:dyDescent="0.3">
      <c r="A427" s="25">
        <f t="shared" si="1"/>
        <v>4524</v>
      </c>
      <c r="B427" s="36">
        <v>43293</v>
      </c>
      <c r="C427" s="35"/>
      <c r="D427" s="35" t="s">
        <v>431</v>
      </c>
      <c r="E427" s="35"/>
      <c r="F427" s="35"/>
      <c r="G427" s="35">
        <v>30</v>
      </c>
      <c r="H427" s="37" t="s">
        <v>379</v>
      </c>
      <c r="I427" s="38">
        <v>2904</v>
      </c>
      <c r="J427" s="39" t="s">
        <v>12</v>
      </c>
      <c r="K427" s="40"/>
      <c r="L427" s="21">
        <v>2904</v>
      </c>
      <c r="M427" s="41" t="s">
        <v>12</v>
      </c>
      <c r="N427" s="42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</row>
    <row r="428" spans="1:27" ht="14.25" customHeight="1" x14ac:dyDescent="0.3">
      <c r="A428" s="27">
        <f t="shared" si="1"/>
        <v>4525</v>
      </c>
      <c r="B428" s="64">
        <v>43298</v>
      </c>
      <c r="C428" s="27"/>
      <c r="D428" s="27" t="s">
        <v>424</v>
      </c>
      <c r="E428" s="27"/>
      <c r="F428" s="27"/>
      <c r="G428" s="27">
        <v>50</v>
      </c>
      <c r="H428" s="28" t="s">
        <v>50</v>
      </c>
      <c r="I428" s="29">
        <v>2664</v>
      </c>
      <c r="J428" s="30" t="s">
        <v>12</v>
      </c>
      <c r="K428" s="47"/>
      <c r="L428" s="45">
        <v>2664</v>
      </c>
      <c r="M428" s="48" t="s">
        <v>12</v>
      </c>
      <c r="N428" s="33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14.25" customHeight="1" x14ac:dyDescent="0.3">
      <c r="A429" s="35">
        <f t="shared" si="1"/>
        <v>4526</v>
      </c>
      <c r="B429" s="36">
        <v>43301</v>
      </c>
      <c r="C429" s="35"/>
      <c r="D429" s="35" t="s">
        <v>407</v>
      </c>
      <c r="E429" s="35"/>
      <c r="F429" s="35"/>
      <c r="G429" s="35">
        <v>70</v>
      </c>
      <c r="H429" s="37" t="s">
        <v>13</v>
      </c>
      <c r="I429" s="38"/>
      <c r="J429" s="39"/>
      <c r="K429" s="40"/>
      <c r="L429" s="21"/>
      <c r="M429" s="41"/>
      <c r="N429" s="42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</row>
    <row r="430" spans="1:27" ht="14.25" customHeight="1" x14ac:dyDescent="0.3">
      <c r="A430" s="27">
        <f t="shared" si="1"/>
        <v>4527</v>
      </c>
      <c r="B430" s="26">
        <v>43297</v>
      </c>
      <c r="C430" s="27" t="s">
        <v>432</v>
      </c>
      <c r="E430" s="27"/>
      <c r="F430" s="27"/>
      <c r="G430" s="27">
        <v>85</v>
      </c>
      <c r="H430" s="28" t="s">
        <v>379</v>
      </c>
      <c r="I430" s="29" t="s">
        <v>433</v>
      </c>
      <c r="J430" s="30" t="s">
        <v>434</v>
      </c>
      <c r="K430" s="47"/>
      <c r="L430" s="29" t="s">
        <v>433</v>
      </c>
      <c r="M430" s="30" t="s">
        <v>434</v>
      </c>
      <c r="N430" s="33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14.25" customHeight="1" x14ac:dyDescent="0.3">
      <c r="A431" s="35">
        <f t="shared" si="1"/>
        <v>4528</v>
      </c>
      <c r="B431" s="36">
        <v>43115</v>
      </c>
      <c r="C431" s="35"/>
      <c r="D431" s="35" t="s">
        <v>435</v>
      </c>
      <c r="E431" s="35"/>
      <c r="F431" s="35"/>
      <c r="G431" s="35">
        <v>10</v>
      </c>
      <c r="H431" s="37" t="s">
        <v>33</v>
      </c>
      <c r="I431" s="38" t="s">
        <v>436</v>
      </c>
      <c r="J431" s="39"/>
      <c r="K431" s="35" t="s">
        <v>435</v>
      </c>
      <c r="L431" s="21"/>
      <c r="M431" s="41"/>
      <c r="N431" s="42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</row>
    <row r="432" spans="1:27" ht="14.25" customHeight="1" x14ac:dyDescent="0.3">
      <c r="A432" s="27">
        <f t="shared" si="1"/>
        <v>4529</v>
      </c>
      <c r="B432" s="26">
        <v>42701</v>
      </c>
      <c r="C432" s="27" t="s">
        <v>437</v>
      </c>
      <c r="D432" s="27"/>
      <c r="E432" s="27"/>
      <c r="F432" s="27"/>
      <c r="G432" s="27">
        <v>15</v>
      </c>
      <c r="H432" s="28" t="s">
        <v>39</v>
      </c>
      <c r="I432" s="29" t="s">
        <v>438</v>
      </c>
      <c r="J432" s="30"/>
      <c r="K432" s="47"/>
      <c r="L432" s="45"/>
      <c r="M432" s="48"/>
      <c r="N432" s="33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14.25" customHeight="1" x14ac:dyDescent="0.3">
      <c r="A433" s="35">
        <f t="shared" si="1"/>
        <v>4530</v>
      </c>
      <c r="B433" s="36">
        <v>43048</v>
      </c>
      <c r="C433" s="35" t="s">
        <v>439</v>
      </c>
      <c r="D433" s="35"/>
      <c r="E433" s="35"/>
      <c r="F433" s="35"/>
      <c r="G433" s="35">
        <v>15</v>
      </c>
      <c r="H433" s="37" t="s">
        <v>39</v>
      </c>
      <c r="I433" s="38" t="s">
        <v>440</v>
      </c>
      <c r="J433" s="39"/>
      <c r="K433" s="40"/>
      <c r="L433" s="21"/>
      <c r="M433" s="41"/>
      <c r="N433" s="42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</row>
    <row r="434" spans="1:27" ht="14.25" customHeight="1" x14ac:dyDescent="0.3">
      <c r="A434" s="25">
        <f t="shared" si="1"/>
        <v>4531</v>
      </c>
      <c r="B434" s="64">
        <v>43309</v>
      </c>
      <c r="C434" s="27" t="s">
        <v>441</v>
      </c>
      <c r="D434" s="27"/>
      <c r="E434" s="27"/>
      <c r="F434" s="27"/>
      <c r="G434" s="27">
        <v>35</v>
      </c>
      <c r="H434" s="28" t="s">
        <v>13</v>
      </c>
      <c r="I434" s="29">
        <v>3020</v>
      </c>
      <c r="J434" s="30" t="s">
        <v>382</v>
      </c>
      <c r="K434" s="47"/>
      <c r="L434" s="45">
        <v>4249</v>
      </c>
      <c r="M434" s="48" t="s">
        <v>442</v>
      </c>
      <c r="N434" s="33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14.25" customHeight="1" x14ac:dyDescent="0.3">
      <c r="A435" s="35">
        <f t="shared" si="1"/>
        <v>4532</v>
      </c>
      <c r="B435" s="60">
        <v>43306</v>
      </c>
      <c r="C435" s="35"/>
      <c r="D435" s="35" t="s">
        <v>57</v>
      </c>
      <c r="E435" s="35"/>
      <c r="F435" s="35"/>
      <c r="G435" s="35">
        <v>40</v>
      </c>
      <c r="H435" s="37" t="s">
        <v>50</v>
      </c>
      <c r="I435" s="38">
        <v>3130</v>
      </c>
      <c r="J435" s="39"/>
      <c r="K435" s="35" t="s">
        <v>57</v>
      </c>
      <c r="L435" s="21">
        <v>3130</v>
      </c>
      <c r="M435" s="41"/>
      <c r="N435" s="35" t="s">
        <v>57</v>
      </c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</row>
    <row r="436" spans="1:27" ht="14.25" customHeight="1" x14ac:dyDescent="0.3">
      <c r="A436" s="27">
        <f t="shared" si="1"/>
        <v>4533</v>
      </c>
      <c r="B436" s="64">
        <v>43306</v>
      </c>
      <c r="C436" s="27"/>
      <c r="D436" s="27" t="s">
        <v>424</v>
      </c>
      <c r="E436" s="27"/>
      <c r="F436" s="27"/>
      <c r="G436" s="27">
        <v>40</v>
      </c>
      <c r="H436" s="28" t="s">
        <v>50</v>
      </c>
      <c r="I436" s="29">
        <v>2664</v>
      </c>
      <c r="J436" s="30" t="s">
        <v>12</v>
      </c>
      <c r="K436" s="47"/>
      <c r="L436" s="45">
        <v>2664</v>
      </c>
      <c r="M436" s="48" t="s">
        <v>12</v>
      </c>
      <c r="N436" s="33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14.25" customHeight="1" x14ac:dyDescent="0.3">
      <c r="A437" s="25">
        <f t="shared" ref="A437:A500" si="2">A436+1</f>
        <v>4534</v>
      </c>
      <c r="B437" s="60">
        <v>43315</v>
      </c>
      <c r="C437" s="35" t="s">
        <v>441</v>
      </c>
      <c r="D437" s="35"/>
      <c r="E437" s="35"/>
      <c r="F437" s="35"/>
      <c r="G437" s="35">
        <v>70</v>
      </c>
      <c r="H437" s="37" t="s">
        <v>13</v>
      </c>
      <c r="I437" s="38">
        <v>3020</v>
      </c>
      <c r="J437" s="39" t="s">
        <v>382</v>
      </c>
      <c r="K437" s="40"/>
      <c r="L437" s="21">
        <v>4249</v>
      </c>
      <c r="M437" s="41" t="s">
        <v>442</v>
      </c>
      <c r="N437" s="42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</row>
    <row r="438" spans="1:27" ht="14.25" customHeight="1" x14ac:dyDescent="0.3">
      <c r="A438" s="27">
        <f t="shared" si="2"/>
        <v>4535</v>
      </c>
      <c r="B438" s="64">
        <v>43312</v>
      </c>
      <c r="C438" s="27"/>
      <c r="D438" s="27" t="s">
        <v>174</v>
      </c>
      <c r="E438" s="27" t="s">
        <v>443</v>
      </c>
      <c r="F438" s="27" t="s">
        <v>444</v>
      </c>
      <c r="G438" s="27">
        <v>7</v>
      </c>
      <c r="H438" s="28" t="s">
        <v>33</v>
      </c>
      <c r="I438" s="29">
        <v>2894</v>
      </c>
      <c r="J438" s="30" t="s">
        <v>85</v>
      </c>
      <c r="K438" s="47"/>
      <c r="L438" s="45">
        <v>4227</v>
      </c>
      <c r="M438" s="48"/>
      <c r="N438" s="33" t="s">
        <v>174</v>
      </c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14.25" customHeight="1" x14ac:dyDescent="0.3">
      <c r="A439" s="35">
        <f t="shared" si="2"/>
        <v>4536</v>
      </c>
      <c r="B439" s="60">
        <v>43312</v>
      </c>
      <c r="C439" s="35"/>
      <c r="D439" s="35" t="s">
        <v>443</v>
      </c>
      <c r="E439" s="35" t="s">
        <v>444</v>
      </c>
      <c r="G439" s="35">
        <v>7</v>
      </c>
      <c r="H439" s="37" t="s">
        <v>33</v>
      </c>
      <c r="I439" s="38">
        <v>2894</v>
      </c>
      <c r="J439" s="39" t="s">
        <v>85</v>
      </c>
      <c r="K439" s="40"/>
      <c r="L439" s="21">
        <v>4227</v>
      </c>
      <c r="M439" s="41"/>
      <c r="N439" s="42" t="s">
        <v>174</v>
      </c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</row>
    <row r="440" spans="1:27" ht="14.25" customHeight="1" x14ac:dyDescent="0.3">
      <c r="A440" s="27">
        <f t="shared" si="2"/>
        <v>4537</v>
      </c>
      <c r="B440" s="26">
        <v>43313</v>
      </c>
      <c r="C440" s="27"/>
      <c r="D440" s="27" t="s">
        <v>84</v>
      </c>
      <c r="E440" s="27"/>
      <c r="F440" s="27"/>
      <c r="G440" s="27">
        <v>25</v>
      </c>
      <c r="H440" s="28" t="s">
        <v>33</v>
      </c>
      <c r="I440" s="29">
        <v>4280</v>
      </c>
      <c r="J440" s="30"/>
      <c r="K440" s="27" t="s">
        <v>84</v>
      </c>
      <c r="L440" s="45">
        <v>2894</v>
      </c>
      <c r="M440" s="48" t="s">
        <v>12</v>
      </c>
      <c r="N440" s="33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14.25" customHeight="1" x14ac:dyDescent="0.3">
      <c r="A441" s="25">
        <f t="shared" si="2"/>
        <v>4538</v>
      </c>
      <c r="B441" s="36">
        <v>43320</v>
      </c>
      <c r="C441" s="35"/>
      <c r="D441" s="35" t="s">
        <v>445</v>
      </c>
      <c r="E441" s="35"/>
      <c r="F441" s="35"/>
      <c r="G441" s="35">
        <v>90</v>
      </c>
      <c r="H441" s="37" t="s">
        <v>379</v>
      </c>
      <c r="I441" s="38" t="s">
        <v>406</v>
      </c>
      <c r="J441" s="39"/>
      <c r="K441" s="35" t="s">
        <v>405</v>
      </c>
      <c r="L441" s="38" t="s">
        <v>406</v>
      </c>
      <c r="M441" s="39"/>
      <c r="N441" s="35" t="s">
        <v>405</v>
      </c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</row>
    <row r="442" spans="1:27" ht="14.25" customHeight="1" x14ac:dyDescent="0.3">
      <c r="A442" s="27">
        <f t="shared" si="2"/>
        <v>4539</v>
      </c>
      <c r="B442" s="26">
        <v>43318</v>
      </c>
      <c r="C442" s="27" t="s">
        <v>446</v>
      </c>
      <c r="D442" s="27"/>
      <c r="E442" s="27"/>
      <c r="F442" s="27"/>
      <c r="G442" s="27">
        <v>34</v>
      </c>
      <c r="H442" s="28" t="s">
        <v>140</v>
      </c>
      <c r="I442" s="29">
        <v>2907</v>
      </c>
      <c r="J442" s="30"/>
      <c r="K442" s="47" t="s">
        <v>177</v>
      </c>
      <c r="L442" s="45">
        <v>2671</v>
      </c>
      <c r="M442" s="48"/>
      <c r="N442" s="33" t="s">
        <v>37</v>
      </c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14.25" customHeight="1" x14ac:dyDescent="0.3">
      <c r="A443" s="35">
        <f t="shared" si="2"/>
        <v>4540</v>
      </c>
      <c r="B443" s="36">
        <v>43318</v>
      </c>
      <c r="C443" s="35" t="s">
        <v>446</v>
      </c>
      <c r="D443" s="35" t="s">
        <v>177</v>
      </c>
      <c r="E443" s="35"/>
      <c r="F443" s="35"/>
      <c r="G443" s="35">
        <v>100</v>
      </c>
      <c r="H443" s="37" t="s">
        <v>140</v>
      </c>
      <c r="I443" s="38">
        <v>4128</v>
      </c>
      <c r="J443" s="39"/>
      <c r="K443" s="40" t="s">
        <v>177</v>
      </c>
      <c r="L443" s="38">
        <v>4128</v>
      </c>
      <c r="M443" s="39"/>
      <c r="N443" s="40" t="s">
        <v>177</v>
      </c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</row>
    <row r="444" spans="1:27" ht="14.25" customHeight="1" x14ac:dyDescent="0.3">
      <c r="A444" s="27">
        <f t="shared" si="2"/>
        <v>4541</v>
      </c>
      <c r="B444" s="26">
        <v>43318</v>
      </c>
      <c r="C444" s="27" t="s">
        <v>446</v>
      </c>
      <c r="D444" s="27" t="s">
        <v>177</v>
      </c>
      <c r="E444" s="27" t="s">
        <v>37</v>
      </c>
      <c r="F444" s="27"/>
      <c r="G444" s="27">
        <v>6</v>
      </c>
      <c r="H444" s="28" t="s">
        <v>140</v>
      </c>
      <c r="I444" s="29">
        <v>2907</v>
      </c>
      <c r="J444" s="30"/>
      <c r="K444" s="47" t="s">
        <v>177</v>
      </c>
      <c r="L444" s="45">
        <v>2671</v>
      </c>
      <c r="M444" s="48"/>
      <c r="N444" s="33" t="s">
        <v>37</v>
      </c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14.25" customHeight="1" x14ac:dyDescent="0.3">
      <c r="A445" s="35">
        <f t="shared" si="2"/>
        <v>4542</v>
      </c>
      <c r="B445" s="36">
        <v>43318</v>
      </c>
      <c r="C445" s="35" t="s">
        <v>446</v>
      </c>
      <c r="D445" s="35" t="s">
        <v>37</v>
      </c>
      <c r="E445" s="35"/>
      <c r="F445" s="35"/>
      <c r="G445" s="35">
        <v>6</v>
      </c>
      <c r="H445" s="37" t="s">
        <v>140</v>
      </c>
      <c r="I445" s="38">
        <v>2907</v>
      </c>
      <c r="J445" s="39"/>
      <c r="K445" s="40" t="s">
        <v>177</v>
      </c>
      <c r="L445" s="21">
        <v>2671</v>
      </c>
      <c r="M445" s="41"/>
      <c r="N445" s="42" t="s">
        <v>37</v>
      </c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</row>
    <row r="446" spans="1:27" ht="14.25" customHeight="1" x14ac:dyDescent="0.3">
      <c r="A446" s="27">
        <f t="shared" si="2"/>
        <v>4543</v>
      </c>
      <c r="B446" s="26">
        <v>43320</v>
      </c>
      <c r="C446" s="27" t="s">
        <v>447</v>
      </c>
      <c r="D446" s="27" t="s">
        <v>275</v>
      </c>
      <c r="E446" s="27" t="s">
        <v>276</v>
      </c>
      <c r="F446" s="27"/>
      <c r="G446" s="27">
        <v>40</v>
      </c>
      <c r="H446" s="28" t="s">
        <v>50</v>
      </c>
      <c r="I446" s="29">
        <v>3100</v>
      </c>
      <c r="J446" s="30"/>
      <c r="K446" s="47" t="s">
        <v>275</v>
      </c>
      <c r="L446" s="45">
        <v>4447</v>
      </c>
      <c r="M446" s="48" t="s">
        <v>448</v>
      </c>
      <c r="N446" s="33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14.25" customHeight="1" x14ac:dyDescent="0.3">
      <c r="A447" s="35">
        <f t="shared" si="2"/>
        <v>4544</v>
      </c>
      <c r="B447" s="36">
        <v>43320</v>
      </c>
      <c r="C447" s="35"/>
      <c r="D447" s="35" t="s">
        <v>449</v>
      </c>
      <c r="E447" s="35"/>
      <c r="F447" s="35"/>
      <c r="G447" s="35">
        <v>40</v>
      </c>
      <c r="H447" s="37" t="s">
        <v>108</v>
      </c>
      <c r="I447" s="38">
        <v>2513</v>
      </c>
      <c r="J447" s="39"/>
      <c r="K447" s="40" t="s">
        <v>449</v>
      </c>
      <c r="L447" s="21">
        <v>2903</v>
      </c>
      <c r="M447" s="41"/>
      <c r="N447" s="42" t="s">
        <v>12</v>
      </c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</row>
    <row r="448" spans="1:27" ht="14.25" customHeight="1" x14ac:dyDescent="0.3">
      <c r="A448" s="27">
        <f t="shared" si="2"/>
        <v>4545</v>
      </c>
      <c r="B448" s="26">
        <v>43320</v>
      </c>
      <c r="C448" s="27"/>
      <c r="D448" s="27" t="s">
        <v>162</v>
      </c>
      <c r="E448" s="27" t="s">
        <v>38</v>
      </c>
      <c r="F448" s="27"/>
      <c r="G448" s="27">
        <v>40</v>
      </c>
      <c r="H448" s="28" t="s">
        <v>108</v>
      </c>
      <c r="I448" s="29">
        <v>2074</v>
      </c>
      <c r="J448" s="30"/>
      <c r="K448" s="47" t="s">
        <v>38</v>
      </c>
      <c r="L448" s="45">
        <v>2547</v>
      </c>
      <c r="M448" s="48"/>
      <c r="N448" s="33" t="s">
        <v>12</v>
      </c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14.25" customHeight="1" x14ac:dyDescent="0.3">
      <c r="A449" s="35">
        <f t="shared" si="2"/>
        <v>4546</v>
      </c>
      <c r="B449" s="60">
        <v>43320</v>
      </c>
      <c r="C449" s="35" t="s">
        <v>12</v>
      </c>
      <c r="D449" s="35"/>
      <c r="E449" s="35"/>
      <c r="F449" s="35"/>
      <c r="G449" s="35">
        <v>50</v>
      </c>
      <c r="H449" s="37" t="s">
        <v>50</v>
      </c>
      <c r="I449" s="38">
        <v>3045</v>
      </c>
      <c r="J449" s="39" t="s">
        <v>12</v>
      </c>
      <c r="K449" s="40"/>
      <c r="L449" s="21">
        <v>3045</v>
      </c>
      <c r="M449" s="41" t="s">
        <v>12</v>
      </c>
      <c r="N449" s="42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</row>
    <row r="450" spans="1:27" ht="14.25" customHeight="1" x14ac:dyDescent="0.3">
      <c r="A450" s="27">
        <f t="shared" si="2"/>
        <v>4547</v>
      </c>
      <c r="B450" s="79">
        <v>43325</v>
      </c>
      <c r="C450" s="27"/>
      <c r="D450" s="27" t="s">
        <v>450</v>
      </c>
      <c r="E450" s="27"/>
      <c r="F450" s="27"/>
      <c r="G450" s="27">
        <v>100</v>
      </c>
      <c r="H450" s="28" t="s">
        <v>251</v>
      </c>
      <c r="I450" s="29">
        <v>2960</v>
      </c>
      <c r="J450" s="30" t="s">
        <v>12</v>
      </c>
      <c r="K450" s="47"/>
      <c r="L450" s="29">
        <v>2960</v>
      </c>
      <c r="M450" s="30" t="s">
        <v>12</v>
      </c>
      <c r="N450" s="33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14.25" customHeight="1" x14ac:dyDescent="0.3">
      <c r="A451" s="35">
        <f t="shared" si="2"/>
        <v>4548</v>
      </c>
      <c r="B451" s="60">
        <v>43331</v>
      </c>
      <c r="D451" s="35" t="s">
        <v>358</v>
      </c>
      <c r="E451" s="35"/>
      <c r="F451" s="35"/>
      <c r="G451" s="35">
        <v>88</v>
      </c>
      <c r="H451" s="37" t="s">
        <v>13</v>
      </c>
      <c r="I451" s="38">
        <v>4423</v>
      </c>
      <c r="J451" s="39"/>
      <c r="K451" s="40" t="s">
        <v>358</v>
      </c>
      <c r="L451" s="21">
        <v>4000</v>
      </c>
      <c r="M451" s="41" t="s">
        <v>12</v>
      </c>
      <c r="N451" s="42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</row>
    <row r="452" spans="1:27" ht="14.25" customHeight="1" x14ac:dyDescent="0.3">
      <c r="A452" s="27">
        <f t="shared" si="2"/>
        <v>4549</v>
      </c>
      <c r="B452" s="64">
        <v>43331</v>
      </c>
      <c r="C452" s="27"/>
      <c r="D452" s="27" t="s">
        <v>346</v>
      </c>
      <c r="E452" s="27"/>
      <c r="F452" s="27"/>
      <c r="G452" s="27">
        <v>100</v>
      </c>
      <c r="H452" s="28" t="s">
        <v>13</v>
      </c>
      <c r="I452" s="29">
        <v>4413</v>
      </c>
      <c r="J452" s="30"/>
      <c r="K452" s="47" t="s">
        <v>346</v>
      </c>
      <c r="L452" s="45">
        <v>4000</v>
      </c>
      <c r="M452" s="48" t="s">
        <v>12</v>
      </c>
      <c r="N452" s="33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14.25" customHeight="1" x14ac:dyDescent="0.3">
      <c r="A453" s="35">
        <f t="shared" si="2"/>
        <v>4550</v>
      </c>
      <c r="B453" s="60">
        <v>43331</v>
      </c>
      <c r="C453" s="35"/>
      <c r="D453" s="35" t="s">
        <v>451</v>
      </c>
      <c r="E453" s="35"/>
      <c r="F453" s="35"/>
      <c r="G453" s="35">
        <v>60</v>
      </c>
      <c r="H453" s="37" t="s">
        <v>13</v>
      </c>
      <c r="I453" s="38">
        <v>4463</v>
      </c>
      <c r="J453" s="39"/>
      <c r="K453" s="40" t="s">
        <v>451</v>
      </c>
      <c r="L453" s="21">
        <v>4406</v>
      </c>
      <c r="M453" s="41" t="s">
        <v>12</v>
      </c>
      <c r="N453" s="42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</row>
    <row r="454" spans="1:27" ht="14.25" customHeight="1" x14ac:dyDescent="0.3">
      <c r="A454" s="27">
        <f t="shared" si="2"/>
        <v>4551</v>
      </c>
      <c r="B454" s="64">
        <v>43326</v>
      </c>
      <c r="C454" s="27" t="s">
        <v>12</v>
      </c>
      <c r="D454" s="27"/>
      <c r="E454" s="27"/>
      <c r="F454" s="27"/>
      <c r="G454" s="27">
        <v>60</v>
      </c>
      <c r="H454" s="28" t="s">
        <v>30</v>
      </c>
      <c r="I454" s="29">
        <v>4193</v>
      </c>
      <c r="J454" s="30" t="s">
        <v>12</v>
      </c>
      <c r="K454" s="47"/>
      <c r="L454" s="45">
        <v>4193</v>
      </c>
      <c r="M454" s="48" t="s">
        <v>12</v>
      </c>
      <c r="N454" s="33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14.25" customHeight="1" x14ac:dyDescent="0.3">
      <c r="A455" s="35">
        <f t="shared" si="2"/>
        <v>4552</v>
      </c>
      <c r="B455" s="60">
        <v>43326</v>
      </c>
      <c r="C455" s="35"/>
      <c r="D455" s="35" t="s">
        <v>29</v>
      </c>
      <c r="E455" s="35"/>
      <c r="F455" s="35"/>
      <c r="G455" s="35">
        <v>110</v>
      </c>
      <c r="H455" s="37" t="s">
        <v>33</v>
      </c>
      <c r="I455" s="38" t="s">
        <v>452</v>
      </c>
      <c r="J455" s="39"/>
      <c r="K455" s="35" t="s">
        <v>29</v>
      </c>
      <c r="L455" s="38" t="s">
        <v>452</v>
      </c>
      <c r="M455" s="41"/>
      <c r="N455" s="35" t="s">
        <v>29</v>
      </c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</row>
    <row r="456" spans="1:27" ht="14.25" customHeight="1" x14ac:dyDescent="0.3">
      <c r="A456" s="27">
        <f t="shared" si="2"/>
        <v>4553</v>
      </c>
      <c r="B456" s="64">
        <v>43326</v>
      </c>
      <c r="C456" s="27"/>
      <c r="D456" s="27" t="s">
        <v>297</v>
      </c>
      <c r="E456" s="27"/>
      <c r="F456" s="27"/>
      <c r="G456" s="27">
        <v>18</v>
      </c>
      <c r="H456" s="28" t="s">
        <v>33</v>
      </c>
      <c r="I456" s="29">
        <v>4276</v>
      </c>
      <c r="J456" s="30"/>
      <c r="K456" s="27" t="s">
        <v>297</v>
      </c>
      <c r="L456" s="29">
        <v>4276</v>
      </c>
      <c r="M456" s="48"/>
      <c r="N456" s="27" t="s">
        <v>297</v>
      </c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14.25" customHeight="1" x14ac:dyDescent="0.3">
      <c r="A457" s="35">
        <f t="shared" si="2"/>
        <v>4554</v>
      </c>
      <c r="B457" s="60">
        <v>43328</v>
      </c>
      <c r="C457" s="35" t="s">
        <v>453</v>
      </c>
      <c r="D457" s="35"/>
      <c r="E457" s="35"/>
      <c r="F457" s="35"/>
      <c r="G457" s="35">
        <v>100</v>
      </c>
      <c r="H457" s="37" t="s">
        <v>50</v>
      </c>
      <c r="I457" s="38">
        <v>4210</v>
      </c>
      <c r="J457" s="39" t="s">
        <v>454</v>
      </c>
      <c r="K457" s="40"/>
      <c r="L457" s="21">
        <v>4210</v>
      </c>
      <c r="M457" s="41" t="s">
        <v>454</v>
      </c>
      <c r="N457" s="42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</row>
    <row r="458" spans="1:27" ht="14.25" customHeight="1" x14ac:dyDescent="0.3">
      <c r="A458" s="27">
        <f t="shared" si="2"/>
        <v>4555</v>
      </c>
      <c r="B458" s="64">
        <v>43328</v>
      </c>
      <c r="C458" s="27" t="s">
        <v>12</v>
      </c>
      <c r="D458" s="27"/>
      <c r="E458" s="27"/>
      <c r="F458" s="27"/>
      <c r="G458" s="27">
        <v>60</v>
      </c>
      <c r="H458" s="28" t="s">
        <v>50</v>
      </c>
      <c r="I458" s="29">
        <v>3045</v>
      </c>
      <c r="J458" s="30" t="s">
        <v>12</v>
      </c>
      <c r="K458" s="47"/>
      <c r="L458" s="45">
        <v>3045</v>
      </c>
      <c r="M458" s="48" t="s">
        <v>12</v>
      </c>
      <c r="N458" s="33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14.25" customHeight="1" x14ac:dyDescent="0.3">
      <c r="A459" s="35">
        <f t="shared" si="2"/>
        <v>4556</v>
      </c>
      <c r="B459" s="60">
        <v>43328</v>
      </c>
      <c r="C459" s="35" t="s">
        <v>455</v>
      </c>
      <c r="D459" s="40" t="s">
        <v>70</v>
      </c>
      <c r="E459" s="35" t="s">
        <v>276</v>
      </c>
      <c r="F459" s="35"/>
      <c r="G459" s="35">
        <v>80</v>
      </c>
      <c r="H459" s="37" t="s">
        <v>50</v>
      </c>
      <c r="I459" s="38">
        <v>3122</v>
      </c>
      <c r="J459" s="39" t="s">
        <v>456</v>
      </c>
      <c r="K459" s="40" t="s">
        <v>70</v>
      </c>
      <c r="L459" s="21">
        <v>4447</v>
      </c>
      <c r="M459" s="41" t="s">
        <v>457</v>
      </c>
      <c r="N459" s="42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</row>
    <row r="460" spans="1:27" ht="14.25" customHeight="1" x14ac:dyDescent="0.3">
      <c r="A460" s="27">
        <f t="shared" si="2"/>
        <v>4557</v>
      </c>
      <c r="B460" s="64">
        <v>43328</v>
      </c>
      <c r="C460" s="27" t="s">
        <v>215</v>
      </c>
      <c r="D460" s="27"/>
      <c r="E460" s="27"/>
      <c r="F460" s="27"/>
      <c r="G460" s="27">
        <v>100</v>
      </c>
      <c r="H460" s="28" t="s">
        <v>140</v>
      </c>
      <c r="I460" s="29">
        <v>3017</v>
      </c>
      <c r="J460" s="30" t="s">
        <v>454</v>
      </c>
      <c r="K460" s="47"/>
      <c r="L460" s="45">
        <v>3017</v>
      </c>
      <c r="M460" s="48" t="s">
        <v>215</v>
      </c>
      <c r="N460" s="33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14.25" customHeight="1" x14ac:dyDescent="0.3">
      <c r="A461" s="35">
        <f t="shared" si="2"/>
        <v>4558</v>
      </c>
      <c r="B461" s="60">
        <v>43328</v>
      </c>
      <c r="C461" s="35" t="s">
        <v>446</v>
      </c>
      <c r="D461" s="35" t="s">
        <v>37</v>
      </c>
      <c r="E461" s="35"/>
      <c r="F461" s="35"/>
      <c r="G461" s="35">
        <v>20</v>
      </c>
      <c r="H461" s="37" t="s">
        <v>140</v>
      </c>
      <c r="I461" s="38">
        <v>4128</v>
      </c>
      <c r="J461" s="39"/>
      <c r="K461" s="40" t="s">
        <v>177</v>
      </c>
      <c r="L461" s="21">
        <v>4123</v>
      </c>
      <c r="M461" s="41"/>
      <c r="N461" s="42" t="s">
        <v>37</v>
      </c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</row>
    <row r="462" spans="1:27" ht="14.25" customHeight="1" x14ac:dyDescent="0.3">
      <c r="A462" s="27">
        <f t="shared" si="2"/>
        <v>4559</v>
      </c>
      <c r="B462" s="64">
        <v>43328</v>
      </c>
      <c r="C462" s="27" t="s">
        <v>446</v>
      </c>
      <c r="D462" s="27" t="s">
        <v>177</v>
      </c>
      <c r="E462" s="27"/>
      <c r="F462" s="27"/>
      <c r="G462" s="27">
        <v>30</v>
      </c>
      <c r="H462" s="28" t="s">
        <v>140</v>
      </c>
      <c r="I462" s="29">
        <v>4128</v>
      </c>
      <c r="J462" s="30"/>
      <c r="K462" s="47" t="s">
        <v>177</v>
      </c>
      <c r="L462" s="45">
        <v>2907</v>
      </c>
      <c r="M462" s="48"/>
      <c r="N462" s="33" t="s">
        <v>37</v>
      </c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14.25" customHeight="1" x14ac:dyDescent="0.3">
      <c r="A463" s="35">
        <f t="shared" si="2"/>
        <v>4560</v>
      </c>
      <c r="B463" s="60">
        <v>43328</v>
      </c>
      <c r="C463" s="35" t="s">
        <v>446</v>
      </c>
      <c r="D463" s="35" t="s">
        <v>177</v>
      </c>
      <c r="E463" s="35" t="s">
        <v>37</v>
      </c>
      <c r="F463" s="35"/>
      <c r="G463" s="35">
        <v>15</v>
      </c>
      <c r="H463" s="37" t="s">
        <v>140</v>
      </c>
      <c r="I463" s="38">
        <v>4128</v>
      </c>
      <c r="J463" s="39"/>
      <c r="K463" s="40" t="s">
        <v>177</v>
      </c>
      <c r="L463" s="21">
        <v>4123</v>
      </c>
      <c r="M463" s="41"/>
      <c r="N463" s="42" t="s">
        <v>37</v>
      </c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</row>
    <row r="464" spans="1:27" ht="14.25" customHeight="1" x14ac:dyDescent="0.3">
      <c r="A464" s="27">
        <f t="shared" si="2"/>
        <v>4561</v>
      </c>
      <c r="B464" s="64">
        <v>43328</v>
      </c>
      <c r="C464" s="27" t="s">
        <v>458</v>
      </c>
      <c r="D464" s="27" t="s">
        <v>183</v>
      </c>
      <c r="E464" s="27" t="s">
        <v>276</v>
      </c>
      <c r="F464" s="27"/>
      <c r="G464" s="27">
        <v>60</v>
      </c>
      <c r="H464" s="28" t="s">
        <v>50</v>
      </c>
      <c r="I464" s="29">
        <v>4235</v>
      </c>
      <c r="J464" s="30" t="s">
        <v>12</v>
      </c>
      <c r="K464" s="47"/>
      <c r="L464" s="45">
        <v>4414</v>
      </c>
      <c r="M464" s="48" t="s">
        <v>63</v>
      </c>
      <c r="N464" s="33" t="s">
        <v>183</v>
      </c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14.25" customHeight="1" x14ac:dyDescent="0.3">
      <c r="A465" s="25">
        <f t="shared" si="2"/>
        <v>4562</v>
      </c>
      <c r="B465" s="60">
        <v>43333</v>
      </c>
      <c r="C465" s="35"/>
      <c r="D465" s="35" t="s">
        <v>459</v>
      </c>
      <c r="E465" s="35"/>
      <c r="F465" s="35"/>
      <c r="G465" s="35">
        <v>30</v>
      </c>
      <c r="H465" s="37" t="s">
        <v>379</v>
      </c>
      <c r="I465" s="38">
        <v>4196</v>
      </c>
      <c r="J465" s="39" t="s">
        <v>12</v>
      </c>
      <c r="K465" s="40"/>
      <c r="L465" s="21">
        <v>4196</v>
      </c>
      <c r="M465" s="39" t="s">
        <v>12</v>
      </c>
      <c r="N465" s="42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</row>
    <row r="466" spans="1:27" ht="14.25" customHeight="1" x14ac:dyDescent="0.3">
      <c r="A466" s="25">
        <f t="shared" si="2"/>
        <v>4563</v>
      </c>
      <c r="B466" s="64">
        <v>43333</v>
      </c>
      <c r="C466" s="27"/>
      <c r="D466" s="27" t="s">
        <v>460</v>
      </c>
      <c r="E466" s="27"/>
      <c r="F466" s="27"/>
      <c r="G466" s="27">
        <v>30</v>
      </c>
      <c r="H466" s="28" t="s">
        <v>379</v>
      </c>
      <c r="I466" s="29">
        <v>4197</v>
      </c>
      <c r="J466" s="30" t="s">
        <v>12</v>
      </c>
      <c r="K466" s="47"/>
      <c r="L466" s="45">
        <v>4197</v>
      </c>
      <c r="M466" s="48" t="s">
        <v>12</v>
      </c>
      <c r="N466" s="33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14.25" customHeight="1" x14ac:dyDescent="0.3">
      <c r="A467" s="35">
        <f t="shared" si="2"/>
        <v>4564</v>
      </c>
      <c r="B467" s="60">
        <v>43336</v>
      </c>
      <c r="C467" s="35" t="s">
        <v>461</v>
      </c>
      <c r="D467" s="35" t="s">
        <v>373</v>
      </c>
      <c r="E467" s="35"/>
      <c r="F467" s="35"/>
      <c r="G467" s="35">
        <v>60</v>
      </c>
      <c r="H467" s="37" t="s">
        <v>13</v>
      </c>
      <c r="I467" s="38">
        <v>4486</v>
      </c>
      <c r="J467" s="39" t="s">
        <v>441</v>
      </c>
      <c r="K467" s="40"/>
      <c r="L467" s="21">
        <v>4486</v>
      </c>
      <c r="M467" s="39" t="s">
        <v>12</v>
      </c>
      <c r="N467" s="42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</row>
    <row r="468" spans="1:27" ht="14.25" customHeight="1" x14ac:dyDescent="0.3">
      <c r="A468" s="27">
        <f t="shared" si="2"/>
        <v>4565</v>
      </c>
      <c r="B468" s="64">
        <v>43336</v>
      </c>
      <c r="C468" s="27"/>
      <c r="D468" s="27" t="s">
        <v>462</v>
      </c>
      <c r="E468" s="27" t="s">
        <v>463</v>
      </c>
      <c r="F468" s="27"/>
      <c r="G468" s="27">
        <v>35</v>
      </c>
      <c r="H468" s="28" t="s">
        <v>379</v>
      </c>
      <c r="I468" s="29">
        <v>4384</v>
      </c>
      <c r="J468" s="30"/>
      <c r="K468" s="47" t="s">
        <v>462</v>
      </c>
      <c r="L468" s="45">
        <v>4245</v>
      </c>
      <c r="M468" s="48"/>
      <c r="N468" s="33" t="s">
        <v>463</v>
      </c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14.25" customHeight="1" x14ac:dyDescent="0.3">
      <c r="A469" s="25">
        <f t="shared" si="2"/>
        <v>4566</v>
      </c>
      <c r="B469" s="60">
        <v>43336</v>
      </c>
      <c r="C469" s="35"/>
      <c r="D469" s="35" t="s">
        <v>37</v>
      </c>
      <c r="E469" s="35"/>
      <c r="F469" s="35"/>
      <c r="G469" s="35">
        <v>200</v>
      </c>
      <c r="H469" s="37" t="s">
        <v>379</v>
      </c>
      <c r="I469" s="38">
        <v>2793</v>
      </c>
      <c r="J469" s="39"/>
      <c r="K469" s="40" t="s">
        <v>37</v>
      </c>
      <c r="L469" s="21">
        <v>2793</v>
      </c>
      <c r="M469" s="41"/>
      <c r="N469" s="42" t="s">
        <v>37</v>
      </c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</row>
    <row r="470" spans="1:27" ht="14.25" customHeight="1" x14ac:dyDescent="0.3">
      <c r="A470" s="80">
        <f t="shared" si="2"/>
        <v>4567</v>
      </c>
      <c r="B470" s="64">
        <v>43338</v>
      </c>
      <c r="C470" s="27"/>
      <c r="D470" s="27" t="s">
        <v>464</v>
      </c>
      <c r="E470" s="27"/>
      <c r="F470" s="27"/>
      <c r="G470" s="27">
        <v>60</v>
      </c>
      <c r="H470" s="28" t="s">
        <v>379</v>
      </c>
      <c r="I470" s="29">
        <v>4208</v>
      </c>
      <c r="J470" s="30"/>
      <c r="K470" s="27" t="s">
        <v>464</v>
      </c>
      <c r="L470" s="45">
        <v>4208</v>
      </c>
      <c r="M470" s="48"/>
      <c r="N470" s="27" t="s">
        <v>464</v>
      </c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14.25" customHeight="1" x14ac:dyDescent="0.3">
      <c r="A471" s="35">
        <f t="shared" si="2"/>
        <v>4568</v>
      </c>
      <c r="B471" s="60">
        <v>43339</v>
      </c>
      <c r="C471" s="35" t="s">
        <v>465</v>
      </c>
      <c r="D471" s="35"/>
      <c r="E471" s="35"/>
      <c r="F471" s="35"/>
      <c r="G471" s="35">
        <v>80</v>
      </c>
      <c r="H471" s="37" t="s">
        <v>114</v>
      </c>
      <c r="I471" s="38">
        <v>4194</v>
      </c>
      <c r="J471" s="39" t="s">
        <v>12</v>
      </c>
      <c r="K471" s="40"/>
      <c r="L471" s="21">
        <v>4194</v>
      </c>
      <c r="M471" s="41" t="s">
        <v>12</v>
      </c>
      <c r="N471" s="42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</row>
    <row r="472" spans="1:27" ht="14.25" customHeight="1" x14ac:dyDescent="0.3">
      <c r="A472" s="27">
        <f t="shared" si="2"/>
        <v>4569</v>
      </c>
      <c r="B472" s="64">
        <v>43344</v>
      </c>
      <c r="C472" s="27" t="s">
        <v>461</v>
      </c>
      <c r="D472" s="27" t="s">
        <v>372</v>
      </c>
      <c r="E472" s="27"/>
      <c r="F472" s="27"/>
      <c r="G472" s="27">
        <v>94</v>
      </c>
      <c r="H472" s="28" t="s">
        <v>13</v>
      </c>
      <c r="I472" s="29">
        <v>4486</v>
      </c>
      <c r="J472" s="30" t="s">
        <v>441</v>
      </c>
      <c r="K472" s="47"/>
      <c r="L472" s="45">
        <v>4486</v>
      </c>
      <c r="M472" s="30" t="s">
        <v>441</v>
      </c>
      <c r="N472" s="33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14.25" customHeight="1" x14ac:dyDescent="0.3">
      <c r="A473" s="35">
        <f t="shared" si="2"/>
        <v>4570</v>
      </c>
      <c r="B473" s="60">
        <v>43341</v>
      </c>
      <c r="C473" s="35" t="s">
        <v>466</v>
      </c>
      <c r="D473" s="35"/>
      <c r="E473" s="35"/>
      <c r="F473" s="35"/>
      <c r="G473" s="35">
        <v>30</v>
      </c>
      <c r="H473" s="37" t="s">
        <v>114</v>
      </c>
      <c r="I473" s="38">
        <v>2173</v>
      </c>
      <c r="J473" s="39" t="s">
        <v>467</v>
      </c>
      <c r="K473" s="40"/>
      <c r="L473" s="21">
        <v>4210</v>
      </c>
      <c r="M473" s="41" t="s">
        <v>85</v>
      </c>
      <c r="N473" s="42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</row>
    <row r="474" spans="1:27" ht="14.25" customHeight="1" x14ac:dyDescent="0.3">
      <c r="A474" s="27">
        <f t="shared" si="2"/>
        <v>4571</v>
      </c>
      <c r="B474" s="64">
        <v>43341</v>
      </c>
      <c r="C474" s="27" t="s">
        <v>466</v>
      </c>
      <c r="D474" s="27" t="s">
        <v>468</v>
      </c>
      <c r="E474" s="27" t="s">
        <v>469</v>
      </c>
      <c r="F474" s="27"/>
      <c r="G474" s="27">
        <v>100</v>
      </c>
      <c r="H474" s="28" t="s">
        <v>114</v>
      </c>
      <c r="I474" s="29">
        <v>2161</v>
      </c>
      <c r="J474" s="30" t="s">
        <v>467</v>
      </c>
      <c r="K474" s="47" t="s">
        <v>470</v>
      </c>
      <c r="L474" s="45">
        <v>4210</v>
      </c>
      <c r="M474" s="48" t="s">
        <v>85</v>
      </c>
      <c r="N474" s="33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14.25" customHeight="1" x14ac:dyDescent="0.3">
      <c r="A475" s="35">
        <f t="shared" si="2"/>
        <v>4572</v>
      </c>
      <c r="B475" s="60">
        <v>43341</v>
      </c>
      <c r="C475" s="35" t="s">
        <v>471</v>
      </c>
      <c r="D475" s="35"/>
      <c r="E475" s="35"/>
      <c r="F475" s="35"/>
      <c r="G475" s="35">
        <v>40</v>
      </c>
      <c r="H475" s="37" t="s">
        <v>114</v>
      </c>
      <c r="I475" s="38">
        <v>4210</v>
      </c>
      <c r="J475" s="39" t="s">
        <v>85</v>
      </c>
      <c r="K475" s="40"/>
      <c r="L475" s="21">
        <v>4210</v>
      </c>
      <c r="M475" s="41" t="s">
        <v>85</v>
      </c>
      <c r="N475" s="42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</row>
    <row r="476" spans="1:27" ht="14.25" customHeight="1" x14ac:dyDescent="0.3">
      <c r="A476" s="27">
        <f t="shared" si="2"/>
        <v>4573</v>
      </c>
      <c r="B476" s="64">
        <v>43343</v>
      </c>
      <c r="C476" s="27"/>
      <c r="D476" s="27" t="s">
        <v>472</v>
      </c>
      <c r="E476" s="27"/>
      <c r="F476" s="27"/>
      <c r="G476" s="27">
        <v>80</v>
      </c>
      <c r="H476" s="28" t="s">
        <v>50</v>
      </c>
      <c r="I476" s="29" t="s">
        <v>436</v>
      </c>
      <c r="J476" s="30"/>
      <c r="K476" s="47"/>
      <c r="L476" s="45"/>
      <c r="M476" s="48"/>
      <c r="N476" s="33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14.25" customHeight="1" x14ac:dyDescent="0.3">
      <c r="A477" s="35">
        <f t="shared" si="2"/>
        <v>4574</v>
      </c>
      <c r="B477" s="60">
        <v>43343</v>
      </c>
      <c r="C477" s="35"/>
      <c r="D477" s="81" t="s">
        <v>473</v>
      </c>
      <c r="E477" s="35"/>
      <c r="F477" s="35"/>
      <c r="G477" s="35">
        <v>30</v>
      </c>
      <c r="H477" s="37" t="s">
        <v>50</v>
      </c>
      <c r="I477" s="38" t="s">
        <v>436</v>
      </c>
      <c r="J477" s="39"/>
      <c r="K477" s="40"/>
      <c r="L477" s="21"/>
      <c r="M477" s="41"/>
      <c r="N477" s="42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</row>
    <row r="478" spans="1:27" ht="14.25" customHeight="1" x14ac:dyDescent="0.3">
      <c r="A478" s="27">
        <f t="shared" si="2"/>
        <v>4575</v>
      </c>
      <c r="B478" s="64">
        <v>43343</v>
      </c>
      <c r="C478" s="27"/>
      <c r="D478" s="82" t="s">
        <v>473</v>
      </c>
      <c r="E478" s="27"/>
      <c r="F478" s="27"/>
      <c r="G478" s="27">
        <v>30</v>
      </c>
      <c r="H478" s="28" t="s">
        <v>50</v>
      </c>
      <c r="I478" s="29" t="s">
        <v>436</v>
      </c>
      <c r="J478" s="30"/>
      <c r="K478" s="47"/>
      <c r="L478" s="45"/>
      <c r="M478" s="48"/>
      <c r="N478" s="33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14.25" customHeight="1" x14ac:dyDescent="0.3">
      <c r="A479" s="25">
        <f t="shared" si="2"/>
        <v>4576</v>
      </c>
      <c r="B479" s="60">
        <v>43343</v>
      </c>
      <c r="C479" s="35"/>
      <c r="D479" s="35" t="s">
        <v>474</v>
      </c>
      <c r="E479" s="35" t="s">
        <v>475</v>
      </c>
      <c r="F479" s="35"/>
      <c r="G479" s="35">
        <v>15</v>
      </c>
      <c r="H479" s="37" t="s">
        <v>379</v>
      </c>
      <c r="I479" s="38"/>
      <c r="J479" s="39"/>
      <c r="K479" s="40"/>
      <c r="L479" s="21"/>
      <c r="M479" s="41"/>
      <c r="N479" s="42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</row>
    <row r="480" spans="1:27" ht="14.25" customHeight="1" x14ac:dyDescent="0.3">
      <c r="A480" s="27">
        <f t="shared" si="2"/>
        <v>4577</v>
      </c>
      <c r="B480" s="64">
        <v>43351</v>
      </c>
      <c r="C480" s="27" t="s">
        <v>461</v>
      </c>
      <c r="D480" s="27" t="s">
        <v>373</v>
      </c>
      <c r="E480" s="27"/>
      <c r="F480" s="27"/>
      <c r="G480" s="27">
        <v>130</v>
      </c>
      <c r="H480" s="28" t="s">
        <v>13</v>
      </c>
      <c r="I480" s="29">
        <v>4486</v>
      </c>
      <c r="J480" s="30" t="s">
        <v>441</v>
      </c>
      <c r="K480" s="47"/>
      <c r="L480" s="45">
        <v>4486</v>
      </c>
      <c r="M480" s="30" t="s">
        <v>441</v>
      </c>
      <c r="N480" s="33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14.25" customHeight="1" x14ac:dyDescent="0.3">
      <c r="A481" s="35">
        <f t="shared" si="2"/>
        <v>4578</v>
      </c>
      <c r="B481" s="60">
        <v>43351</v>
      </c>
      <c r="C481" s="35"/>
      <c r="D481" s="35" t="s">
        <v>360</v>
      </c>
      <c r="E481" s="35"/>
      <c r="F481" s="35"/>
      <c r="G481" s="35">
        <v>35</v>
      </c>
      <c r="H481" s="37" t="s">
        <v>13</v>
      </c>
      <c r="I481" s="38"/>
      <c r="J481" s="39"/>
      <c r="K481" s="40"/>
      <c r="L481" s="21"/>
      <c r="M481" s="41"/>
      <c r="N481" s="42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</row>
    <row r="482" spans="1:27" ht="14.25" customHeight="1" x14ac:dyDescent="0.3">
      <c r="A482" s="27">
        <f t="shared" si="2"/>
        <v>4579</v>
      </c>
      <c r="B482" s="64">
        <v>43351</v>
      </c>
      <c r="C482" s="27"/>
      <c r="D482" s="27" t="s">
        <v>359</v>
      </c>
      <c r="E482" s="27"/>
      <c r="F482" s="27"/>
      <c r="G482" s="27">
        <v>65</v>
      </c>
      <c r="H482" s="28" t="s">
        <v>13</v>
      </c>
      <c r="I482" s="29"/>
      <c r="J482" s="30"/>
      <c r="K482" s="47"/>
      <c r="L482" s="45"/>
      <c r="M482" s="48"/>
      <c r="N482" s="33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14.25" customHeight="1" x14ac:dyDescent="0.3">
      <c r="A483" s="35">
        <f t="shared" si="2"/>
        <v>4580</v>
      </c>
      <c r="B483" s="36">
        <v>43348</v>
      </c>
      <c r="C483" s="35"/>
      <c r="D483" s="35" t="s">
        <v>297</v>
      </c>
      <c r="E483" s="35" t="s">
        <v>476</v>
      </c>
      <c r="F483" s="35" t="s">
        <v>477</v>
      </c>
      <c r="G483" s="35">
        <v>42</v>
      </c>
      <c r="H483" s="37" t="s">
        <v>33</v>
      </c>
      <c r="I483" s="38">
        <v>4276</v>
      </c>
      <c r="J483" s="39"/>
      <c r="K483" s="35" t="s">
        <v>297</v>
      </c>
      <c r="L483" s="21">
        <v>4503</v>
      </c>
      <c r="M483" s="41"/>
      <c r="N483" s="35" t="s">
        <v>478</v>
      </c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</row>
    <row r="484" spans="1:27" ht="14.25" customHeight="1" x14ac:dyDescent="0.3">
      <c r="A484" s="27">
        <f t="shared" si="2"/>
        <v>4581</v>
      </c>
      <c r="B484" s="79">
        <v>43349</v>
      </c>
      <c r="C484" s="27" t="s">
        <v>479</v>
      </c>
      <c r="D484" s="27"/>
      <c r="E484" s="27"/>
      <c r="F484" s="27"/>
      <c r="G484" s="27">
        <v>30</v>
      </c>
      <c r="H484" s="28" t="s">
        <v>251</v>
      </c>
      <c r="I484" s="29">
        <v>4473</v>
      </c>
      <c r="J484" s="30" t="s">
        <v>12</v>
      </c>
      <c r="K484" s="47"/>
      <c r="L484" s="29">
        <v>4473</v>
      </c>
      <c r="M484" s="30" t="s">
        <v>12</v>
      </c>
      <c r="N484" s="33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14.25" customHeight="1" x14ac:dyDescent="0.3">
      <c r="A485" s="35">
        <f t="shared" si="2"/>
        <v>4582</v>
      </c>
      <c r="B485" s="60">
        <v>43348</v>
      </c>
      <c r="C485" s="35"/>
      <c r="D485" s="35" t="s">
        <v>480</v>
      </c>
      <c r="E485" s="35"/>
      <c r="F485" s="35"/>
      <c r="G485" s="35">
        <v>40</v>
      </c>
      <c r="H485" s="37" t="s">
        <v>50</v>
      </c>
      <c r="I485" s="38">
        <v>4276</v>
      </c>
      <c r="J485" s="39"/>
      <c r="K485" s="35" t="s">
        <v>297</v>
      </c>
      <c r="L485" s="21"/>
      <c r="M485" s="41"/>
      <c r="N485" s="42" t="s">
        <v>180</v>
      </c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</row>
    <row r="486" spans="1:27" ht="14.25" customHeight="1" x14ac:dyDescent="0.3">
      <c r="A486" s="27">
        <f t="shared" si="2"/>
        <v>4583</v>
      </c>
      <c r="B486" s="64">
        <v>43348</v>
      </c>
      <c r="C486" s="27"/>
      <c r="D486" s="27" t="s">
        <v>480</v>
      </c>
      <c r="E486" s="27" t="s">
        <v>180</v>
      </c>
      <c r="F486" s="27"/>
      <c r="G486" s="27">
        <v>50</v>
      </c>
      <c r="H486" s="28" t="s">
        <v>50</v>
      </c>
      <c r="I486" s="29">
        <v>4276</v>
      </c>
      <c r="J486" s="30"/>
      <c r="K486" s="27" t="s">
        <v>297</v>
      </c>
      <c r="L486" s="45"/>
      <c r="M486" s="48"/>
      <c r="N486" s="33" t="s">
        <v>180</v>
      </c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14.25" customHeight="1" x14ac:dyDescent="0.3">
      <c r="A487" s="35">
        <f t="shared" si="2"/>
        <v>4584</v>
      </c>
      <c r="B487" s="60">
        <v>43348</v>
      </c>
      <c r="C487" s="35"/>
      <c r="D487" s="35" t="s">
        <v>180</v>
      </c>
      <c r="E487" s="35"/>
      <c r="F487" s="35"/>
      <c r="G487" s="35">
        <v>40</v>
      </c>
      <c r="H487" s="37" t="s">
        <v>50</v>
      </c>
      <c r="I487" s="38">
        <v>4276</v>
      </c>
      <c r="J487" s="39"/>
      <c r="K487" s="35" t="s">
        <v>297</v>
      </c>
      <c r="L487" s="21"/>
      <c r="M487" s="41"/>
      <c r="N487" s="42" t="s">
        <v>180</v>
      </c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</row>
    <row r="488" spans="1:27" ht="14.25" customHeight="1" x14ac:dyDescent="0.3">
      <c r="A488" s="25">
        <f t="shared" si="2"/>
        <v>4585</v>
      </c>
      <c r="B488" s="64">
        <v>43349</v>
      </c>
      <c r="C488" s="27"/>
      <c r="D488" s="27" t="s">
        <v>481</v>
      </c>
      <c r="E488" s="27"/>
      <c r="F488" s="27"/>
      <c r="G488" s="27">
        <v>30</v>
      </c>
      <c r="H488" s="28" t="s">
        <v>379</v>
      </c>
      <c r="I488" s="29">
        <v>4196</v>
      </c>
      <c r="J488" s="30" t="s">
        <v>12</v>
      </c>
      <c r="K488" s="47"/>
      <c r="L488" s="45">
        <v>4196</v>
      </c>
      <c r="M488" s="48" t="s">
        <v>12</v>
      </c>
      <c r="N488" s="33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14.25" customHeight="1" x14ac:dyDescent="0.3">
      <c r="A489" s="35">
        <f t="shared" si="2"/>
        <v>4586</v>
      </c>
      <c r="B489" s="60">
        <v>43348</v>
      </c>
      <c r="C489" s="35"/>
      <c r="D489" s="35" t="s">
        <v>198</v>
      </c>
      <c r="E489" s="35" t="s">
        <v>482</v>
      </c>
      <c r="F489" s="35" t="s">
        <v>483</v>
      </c>
      <c r="G489" s="35">
        <v>4</v>
      </c>
      <c r="H489" s="37" t="s">
        <v>108</v>
      </c>
      <c r="I489" s="83">
        <v>4218</v>
      </c>
      <c r="J489" s="39"/>
      <c r="K489" s="40" t="s">
        <v>484</v>
      </c>
      <c r="L489" s="21">
        <v>4218</v>
      </c>
      <c r="M489" s="41"/>
      <c r="N489" s="40" t="s">
        <v>484</v>
      </c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</row>
    <row r="490" spans="1:27" ht="14.25" customHeight="1" x14ac:dyDescent="0.3">
      <c r="A490" s="27">
        <f t="shared" si="2"/>
        <v>4587</v>
      </c>
      <c r="B490" s="79">
        <v>43353</v>
      </c>
      <c r="C490" s="27" t="s">
        <v>485</v>
      </c>
      <c r="D490" s="27" t="s">
        <v>463</v>
      </c>
      <c r="E490" s="27"/>
      <c r="F490" s="27"/>
      <c r="G490" s="27">
        <v>30</v>
      </c>
      <c r="H490" s="28" t="s">
        <v>251</v>
      </c>
      <c r="I490" s="29">
        <v>4246</v>
      </c>
      <c r="J490" s="30"/>
      <c r="K490" s="47" t="s">
        <v>486</v>
      </c>
      <c r="L490" s="45">
        <v>4246</v>
      </c>
      <c r="M490" s="48"/>
      <c r="N490" s="33" t="s">
        <v>486</v>
      </c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14.25" customHeight="1" x14ac:dyDescent="0.3">
      <c r="A491" s="35">
        <f t="shared" si="2"/>
        <v>4588</v>
      </c>
      <c r="B491" s="78">
        <v>43353</v>
      </c>
      <c r="C491" s="35" t="s">
        <v>485</v>
      </c>
      <c r="D491" s="35" t="s">
        <v>487</v>
      </c>
      <c r="E491" s="35"/>
      <c r="F491" s="35"/>
      <c r="G491" s="35">
        <v>100</v>
      </c>
      <c r="H491" s="37" t="s">
        <v>251</v>
      </c>
      <c r="I491" s="38">
        <v>4112</v>
      </c>
      <c r="J491" s="39"/>
      <c r="K491" s="35" t="s">
        <v>487</v>
      </c>
      <c r="L491" s="38">
        <v>4112</v>
      </c>
      <c r="M491" s="41"/>
      <c r="N491" s="35" t="s">
        <v>487</v>
      </c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</row>
    <row r="492" spans="1:27" ht="14.25" customHeight="1" x14ac:dyDescent="0.3">
      <c r="A492" s="27">
        <f t="shared" si="2"/>
        <v>4589</v>
      </c>
      <c r="B492" s="79">
        <v>43353</v>
      </c>
      <c r="C492" s="27" t="s">
        <v>479</v>
      </c>
      <c r="D492" s="27"/>
      <c r="E492" s="27"/>
      <c r="F492" s="27"/>
      <c r="G492" s="27">
        <v>50</v>
      </c>
      <c r="H492" s="28" t="s">
        <v>251</v>
      </c>
      <c r="I492" s="29" t="s">
        <v>488</v>
      </c>
      <c r="J492" s="30" t="s">
        <v>12</v>
      </c>
      <c r="K492" s="47"/>
      <c r="L492" s="29" t="s">
        <v>488</v>
      </c>
      <c r="M492" s="30" t="s">
        <v>12</v>
      </c>
      <c r="N492" s="33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14.25" customHeight="1" x14ac:dyDescent="0.3">
      <c r="A493" s="35">
        <f t="shared" si="2"/>
        <v>4590</v>
      </c>
      <c r="B493" s="60">
        <v>43357</v>
      </c>
      <c r="C493" s="35"/>
      <c r="D493" s="35" t="s">
        <v>360</v>
      </c>
      <c r="E493" s="35"/>
      <c r="F493" s="35"/>
      <c r="G493" s="35">
        <v>35</v>
      </c>
      <c r="H493" s="37" t="s">
        <v>13</v>
      </c>
      <c r="I493" s="38"/>
      <c r="J493" s="39"/>
      <c r="K493" s="40"/>
      <c r="L493" s="21"/>
      <c r="M493" s="41"/>
      <c r="N493" s="42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</row>
    <row r="494" spans="1:27" ht="14.25" customHeight="1" x14ac:dyDescent="0.3">
      <c r="A494" s="27">
        <f t="shared" si="2"/>
        <v>4591</v>
      </c>
      <c r="B494" s="64">
        <v>43357</v>
      </c>
      <c r="C494" s="27" t="s">
        <v>461</v>
      </c>
      <c r="D494" s="27" t="s">
        <v>372</v>
      </c>
      <c r="E494" s="27"/>
      <c r="F494" s="27"/>
      <c r="G494" s="27">
        <v>110</v>
      </c>
      <c r="H494" s="28" t="s">
        <v>13</v>
      </c>
      <c r="I494" s="29">
        <v>4486</v>
      </c>
      <c r="J494" s="30" t="s">
        <v>441</v>
      </c>
      <c r="K494" s="47"/>
      <c r="L494" s="45">
        <v>4486</v>
      </c>
      <c r="M494" s="30" t="s">
        <v>441</v>
      </c>
      <c r="N494" s="33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14.25" customHeight="1" x14ac:dyDescent="0.3">
      <c r="A495" s="35">
        <f t="shared" si="2"/>
        <v>4592</v>
      </c>
      <c r="B495" s="60">
        <v>43357</v>
      </c>
      <c r="C495" s="35"/>
      <c r="D495" s="35" t="s">
        <v>489</v>
      </c>
      <c r="E495" s="35"/>
      <c r="F495" s="35"/>
      <c r="G495" s="35">
        <v>8</v>
      </c>
      <c r="H495" s="37" t="s">
        <v>13</v>
      </c>
      <c r="I495" s="38"/>
      <c r="J495" s="39"/>
      <c r="K495" s="40"/>
      <c r="L495" s="21"/>
      <c r="M495" s="41"/>
      <c r="N495" s="42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</row>
    <row r="496" spans="1:27" ht="14.25" customHeight="1" x14ac:dyDescent="0.3">
      <c r="A496" s="27">
        <f t="shared" si="2"/>
        <v>4593</v>
      </c>
      <c r="B496" s="64">
        <v>43357</v>
      </c>
      <c r="C496" s="27"/>
      <c r="D496" s="27" t="s">
        <v>490</v>
      </c>
      <c r="E496" s="27"/>
      <c r="F496" s="27"/>
      <c r="G496" s="27">
        <v>17</v>
      </c>
      <c r="H496" s="28" t="s">
        <v>13</v>
      </c>
      <c r="I496" s="29"/>
      <c r="J496" s="30"/>
      <c r="K496" s="47"/>
      <c r="L496" s="45"/>
      <c r="M496" s="48"/>
      <c r="N496" s="33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14.25" customHeight="1" x14ac:dyDescent="0.3">
      <c r="A497" s="35">
        <f t="shared" si="2"/>
        <v>4594</v>
      </c>
      <c r="B497" s="60">
        <v>43357</v>
      </c>
      <c r="C497" s="35"/>
      <c r="D497" s="35" t="s">
        <v>491</v>
      </c>
      <c r="E497" s="35"/>
      <c r="F497" s="35"/>
      <c r="G497" s="35">
        <v>45</v>
      </c>
      <c r="H497" s="37" t="s">
        <v>13</v>
      </c>
      <c r="I497" s="38"/>
      <c r="J497" s="39"/>
      <c r="K497" s="40"/>
      <c r="L497" s="21"/>
      <c r="M497" s="41"/>
      <c r="N497" s="42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</row>
    <row r="498" spans="1:27" ht="14.25" customHeight="1" x14ac:dyDescent="0.3">
      <c r="A498" s="27">
        <f t="shared" si="2"/>
        <v>4595</v>
      </c>
      <c r="B498" s="64">
        <v>43357</v>
      </c>
      <c r="C498" s="27"/>
      <c r="D498" s="27" t="s">
        <v>492</v>
      </c>
      <c r="E498" s="27"/>
      <c r="F498" s="27"/>
      <c r="G498" s="27">
        <v>37</v>
      </c>
      <c r="H498" s="28" t="s">
        <v>13</v>
      </c>
      <c r="I498" s="29"/>
      <c r="J498" s="30"/>
      <c r="K498" s="47"/>
      <c r="L498" s="45"/>
      <c r="M498" s="48"/>
      <c r="N498" s="33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14.25" customHeight="1" x14ac:dyDescent="0.3">
      <c r="A499" s="35">
        <f t="shared" si="2"/>
        <v>4596</v>
      </c>
      <c r="B499" s="60">
        <v>43357</v>
      </c>
      <c r="C499" s="35"/>
      <c r="D499" s="35" t="s">
        <v>493</v>
      </c>
      <c r="E499" s="35"/>
      <c r="F499" s="35"/>
      <c r="G499" s="35">
        <v>39</v>
      </c>
      <c r="H499" s="37" t="s">
        <v>13</v>
      </c>
      <c r="I499" s="38"/>
      <c r="J499" s="39"/>
      <c r="K499" s="40"/>
      <c r="L499" s="21"/>
      <c r="M499" s="41"/>
      <c r="N499" s="42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</row>
    <row r="500" spans="1:27" ht="14.25" customHeight="1" x14ac:dyDescent="0.3">
      <c r="A500" s="27">
        <f t="shared" si="2"/>
        <v>4597</v>
      </c>
      <c r="B500" s="64">
        <v>43357</v>
      </c>
      <c r="C500" s="27"/>
      <c r="D500" s="27" t="s">
        <v>494</v>
      </c>
      <c r="E500" s="27"/>
      <c r="F500" s="27"/>
      <c r="G500" s="27">
        <v>50</v>
      </c>
      <c r="H500" s="28" t="s">
        <v>13</v>
      </c>
      <c r="I500" s="29"/>
      <c r="J500" s="30"/>
      <c r="K500" s="47"/>
      <c r="L500" s="45"/>
      <c r="M500" s="48"/>
      <c r="N500" s="33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14.25" customHeight="1" x14ac:dyDescent="0.3">
      <c r="A501" s="35">
        <f t="shared" ref="A501:A564" si="3">A500+1</f>
        <v>4598</v>
      </c>
      <c r="B501" s="60">
        <v>43354</v>
      </c>
      <c r="C501" s="35" t="s">
        <v>495</v>
      </c>
      <c r="D501" s="35"/>
      <c r="E501" s="35"/>
      <c r="F501" s="35"/>
      <c r="G501" s="35">
        <v>80</v>
      </c>
      <c r="H501" s="37" t="s">
        <v>114</v>
      </c>
      <c r="I501" s="38" t="s">
        <v>496</v>
      </c>
      <c r="J501" s="39" t="s">
        <v>497</v>
      </c>
      <c r="K501" s="40"/>
      <c r="L501" s="21" t="s">
        <v>496</v>
      </c>
      <c r="M501" s="41" t="s">
        <v>497</v>
      </c>
      <c r="N501" s="42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</row>
    <row r="502" spans="1:27" ht="14.25" customHeight="1" x14ac:dyDescent="0.3">
      <c r="A502" s="27">
        <f t="shared" si="3"/>
        <v>4599</v>
      </c>
      <c r="B502" s="64">
        <v>43354</v>
      </c>
      <c r="C502" s="27" t="s">
        <v>465</v>
      </c>
      <c r="D502" s="27" t="s">
        <v>468</v>
      </c>
      <c r="E502" s="27"/>
      <c r="F502" s="27"/>
      <c r="G502" s="27">
        <v>25</v>
      </c>
      <c r="H502" s="28" t="s">
        <v>114</v>
      </c>
      <c r="I502" s="29">
        <v>4112</v>
      </c>
      <c r="J502" s="30"/>
      <c r="K502" s="47" t="s">
        <v>468</v>
      </c>
      <c r="L502" s="45">
        <v>4112</v>
      </c>
      <c r="M502" s="48"/>
      <c r="N502" s="33" t="s">
        <v>468</v>
      </c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14.25" customHeight="1" x14ac:dyDescent="0.3">
      <c r="A503" s="35">
        <f t="shared" si="3"/>
        <v>4600</v>
      </c>
      <c r="B503" s="60">
        <v>43353</v>
      </c>
      <c r="C503" s="35"/>
      <c r="D503" s="35" t="s">
        <v>498</v>
      </c>
      <c r="E503" s="35"/>
      <c r="F503" s="35"/>
      <c r="G503" s="35">
        <v>10</v>
      </c>
      <c r="H503" s="37" t="s">
        <v>379</v>
      </c>
      <c r="I503" s="38">
        <v>2985</v>
      </c>
      <c r="J503" s="39" t="s">
        <v>12</v>
      </c>
      <c r="K503" s="40"/>
      <c r="L503" s="21">
        <v>2985</v>
      </c>
      <c r="M503" s="41" t="s">
        <v>499</v>
      </c>
      <c r="N503" s="42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</row>
    <row r="504" spans="1:27" ht="14.25" customHeight="1" x14ac:dyDescent="0.3">
      <c r="A504" s="27">
        <f t="shared" si="3"/>
        <v>4601</v>
      </c>
      <c r="B504" s="64">
        <v>43355</v>
      </c>
      <c r="C504" s="27"/>
      <c r="D504" s="27" t="s">
        <v>500</v>
      </c>
      <c r="E504" s="27"/>
      <c r="F504" s="27"/>
      <c r="G504" s="27">
        <v>40</v>
      </c>
      <c r="H504" s="28" t="s">
        <v>114</v>
      </c>
      <c r="I504" s="29">
        <v>4210</v>
      </c>
      <c r="J504" s="30" t="s">
        <v>215</v>
      </c>
      <c r="K504" s="47"/>
      <c r="L504" s="45">
        <v>2159</v>
      </c>
      <c r="M504" s="48" t="s">
        <v>500</v>
      </c>
      <c r="N504" s="33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14.25" customHeight="1" x14ac:dyDescent="0.3">
      <c r="A505" s="35">
        <f t="shared" si="3"/>
        <v>4602</v>
      </c>
      <c r="B505" s="60">
        <v>43355</v>
      </c>
      <c r="C505" s="35"/>
      <c r="D505" s="35" t="s">
        <v>501</v>
      </c>
      <c r="E505" s="35"/>
      <c r="F505" s="35"/>
      <c r="G505" s="35">
        <v>50</v>
      </c>
      <c r="H505" s="37" t="s">
        <v>114</v>
      </c>
      <c r="I505" s="38">
        <v>4253</v>
      </c>
      <c r="J505" s="39" t="s">
        <v>12</v>
      </c>
      <c r="K505" s="40"/>
      <c r="L505" s="21">
        <v>4253</v>
      </c>
      <c r="M505" s="41" t="s">
        <v>12</v>
      </c>
      <c r="N505" s="42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</row>
    <row r="506" spans="1:27" ht="14.25" customHeight="1" x14ac:dyDescent="0.3">
      <c r="A506" s="27">
        <f t="shared" si="3"/>
        <v>4603</v>
      </c>
      <c r="B506" s="64">
        <v>43355</v>
      </c>
      <c r="C506" s="27"/>
      <c r="D506" s="27" t="s">
        <v>502</v>
      </c>
      <c r="E506" s="27"/>
      <c r="F506" s="27"/>
      <c r="G506" s="27">
        <v>60</v>
      </c>
      <c r="H506" s="28" t="s">
        <v>114</v>
      </c>
      <c r="I506" s="29">
        <v>4253</v>
      </c>
      <c r="J506" s="30" t="s">
        <v>12</v>
      </c>
      <c r="K506" s="47"/>
      <c r="L506" s="45">
        <v>4253</v>
      </c>
      <c r="M506" s="48" t="s">
        <v>12</v>
      </c>
      <c r="N506" s="33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14.25" customHeight="1" x14ac:dyDescent="0.3">
      <c r="A507" s="35">
        <f t="shared" si="3"/>
        <v>4604</v>
      </c>
      <c r="B507" s="60">
        <v>43355</v>
      </c>
      <c r="C507" s="35"/>
      <c r="D507" s="35" t="s">
        <v>54</v>
      </c>
      <c r="E507" s="35" t="s">
        <v>57</v>
      </c>
      <c r="F507" s="35"/>
      <c r="G507" s="35">
        <v>50</v>
      </c>
      <c r="H507" s="37" t="s">
        <v>50</v>
      </c>
      <c r="I507" s="38">
        <v>4256</v>
      </c>
      <c r="J507" s="39"/>
      <c r="K507" s="35" t="s">
        <v>54</v>
      </c>
      <c r="L507" s="21">
        <v>4236</v>
      </c>
      <c r="M507" s="41"/>
      <c r="N507" s="35" t="s">
        <v>57</v>
      </c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</row>
    <row r="508" spans="1:27" ht="14.25" customHeight="1" x14ac:dyDescent="0.3">
      <c r="A508" s="27">
        <f t="shared" si="3"/>
        <v>4605</v>
      </c>
      <c r="B508" s="64">
        <v>43355</v>
      </c>
      <c r="C508" s="27"/>
      <c r="D508" s="27" t="s">
        <v>54</v>
      </c>
      <c r="E508" s="27"/>
      <c r="F508" s="27"/>
      <c r="G508" s="27">
        <v>100</v>
      </c>
      <c r="H508" s="28" t="s">
        <v>50</v>
      </c>
      <c r="I508" s="29">
        <v>4256</v>
      </c>
      <c r="J508" s="30"/>
      <c r="K508" s="27" t="s">
        <v>54</v>
      </c>
      <c r="L508" s="45">
        <v>4236</v>
      </c>
      <c r="M508" s="48"/>
      <c r="N508" s="27" t="s">
        <v>57</v>
      </c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14.25" customHeight="1" x14ac:dyDescent="0.3">
      <c r="A509" s="35">
        <f t="shared" si="3"/>
        <v>4606</v>
      </c>
      <c r="B509" s="60">
        <v>43358</v>
      </c>
      <c r="C509" s="35" t="s">
        <v>503</v>
      </c>
      <c r="D509" s="35"/>
      <c r="E509" s="35"/>
      <c r="F509" s="35"/>
      <c r="G509" s="35">
        <v>60</v>
      </c>
      <c r="H509" s="37" t="s">
        <v>50</v>
      </c>
      <c r="I509" s="38">
        <v>4236</v>
      </c>
      <c r="J509" s="39"/>
      <c r="K509" s="40" t="s">
        <v>57</v>
      </c>
      <c r="L509" s="21">
        <v>4516</v>
      </c>
      <c r="M509" s="41" t="s">
        <v>504</v>
      </c>
      <c r="N509" s="42"/>
      <c r="O509" s="21">
        <v>4179</v>
      </c>
      <c r="P509" s="41"/>
      <c r="Q509" s="42" t="s">
        <v>183</v>
      </c>
      <c r="R509" s="24"/>
      <c r="S509" s="24"/>
      <c r="T509" s="24"/>
      <c r="U509" s="24"/>
      <c r="V509" s="24"/>
      <c r="W509" s="24"/>
      <c r="X509" s="24"/>
      <c r="Y509" s="24"/>
      <c r="Z509" s="24"/>
      <c r="AA509" s="24"/>
    </row>
    <row r="510" spans="1:27" ht="14.25" customHeight="1" x14ac:dyDescent="0.3">
      <c r="A510" s="25">
        <f t="shared" si="3"/>
        <v>4607</v>
      </c>
      <c r="B510" s="64">
        <v>43358</v>
      </c>
      <c r="C510" s="27" t="s">
        <v>503</v>
      </c>
      <c r="D510" s="27" t="s">
        <v>57</v>
      </c>
      <c r="E510" s="27"/>
      <c r="F510" s="27"/>
      <c r="G510" s="27">
        <v>25</v>
      </c>
      <c r="H510" s="28" t="s">
        <v>50</v>
      </c>
      <c r="I510" s="29">
        <v>4236</v>
      </c>
      <c r="J510" s="30"/>
      <c r="K510" s="47" t="s">
        <v>57</v>
      </c>
      <c r="L510" s="45">
        <v>4516</v>
      </c>
      <c r="M510" s="48" t="s">
        <v>504</v>
      </c>
      <c r="N510" s="27"/>
      <c r="O510" s="45">
        <v>4236</v>
      </c>
      <c r="P510" s="48"/>
      <c r="Q510" s="27" t="s">
        <v>57</v>
      </c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14.25" customHeight="1" x14ac:dyDescent="0.3">
      <c r="A511" s="35">
        <f t="shared" si="3"/>
        <v>4608</v>
      </c>
      <c r="B511" s="60">
        <v>43358</v>
      </c>
      <c r="C511" s="35" t="s">
        <v>503</v>
      </c>
      <c r="D511" s="35" t="s">
        <v>183</v>
      </c>
      <c r="E511" s="35"/>
      <c r="F511" s="35"/>
      <c r="G511" s="35">
        <v>25</v>
      </c>
      <c r="H511" s="37" t="s">
        <v>50</v>
      </c>
      <c r="I511" s="38">
        <v>4179</v>
      </c>
      <c r="J511" s="39"/>
      <c r="K511" s="40" t="s">
        <v>183</v>
      </c>
      <c r="L511" s="21">
        <v>4516</v>
      </c>
      <c r="M511" s="41" t="s">
        <v>504</v>
      </c>
      <c r="N511" s="42"/>
      <c r="O511" s="21">
        <v>4179</v>
      </c>
      <c r="P511" s="41"/>
      <c r="Q511" s="42" t="s">
        <v>183</v>
      </c>
      <c r="R511" s="24"/>
      <c r="S511" s="24"/>
      <c r="T511" s="24"/>
      <c r="U511" s="24"/>
      <c r="V511" s="24"/>
      <c r="W511" s="24"/>
      <c r="X511" s="24"/>
      <c r="Y511" s="24"/>
      <c r="Z511" s="24"/>
      <c r="AA511" s="24"/>
    </row>
    <row r="512" spans="1:27" ht="14.25" customHeight="1" x14ac:dyDescent="0.3">
      <c r="A512" s="27">
        <f t="shared" si="3"/>
        <v>4609</v>
      </c>
      <c r="B512" s="64">
        <v>43356</v>
      </c>
      <c r="C512" s="27"/>
      <c r="D512" s="27" t="s">
        <v>505</v>
      </c>
      <c r="E512" s="27" t="s">
        <v>506</v>
      </c>
      <c r="F512" s="27" t="s">
        <v>507</v>
      </c>
      <c r="G512" s="27">
        <v>6</v>
      </c>
      <c r="H512" s="28" t="s">
        <v>108</v>
      </c>
      <c r="I512" s="29">
        <v>4218</v>
      </c>
      <c r="J512" s="30"/>
      <c r="K512" s="47" t="s">
        <v>508</v>
      </c>
      <c r="L512" s="45">
        <v>4218</v>
      </c>
      <c r="M512" s="48"/>
      <c r="N512" s="33" t="s">
        <v>508</v>
      </c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14.25" customHeight="1" x14ac:dyDescent="0.3">
      <c r="A513" s="35">
        <f t="shared" si="3"/>
        <v>4610</v>
      </c>
      <c r="B513" s="60">
        <v>43358</v>
      </c>
      <c r="C513" s="35"/>
      <c r="D513" s="35" t="s">
        <v>297</v>
      </c>
      <c r="E513" s="35" t="s">
        <v>509</v>
      </c>
      <c r="F513" s="84" t="s">
        <v>477</v>
      </c>
      <c r="G513" s="35">
        <v>25</v>
      </c>
      <c r="H513" s="37" t="s">
        <v>33</v>
      </c>
      <c r="I513" s="38">
        <v>4276</v>
      </c>
      <c r="J513" s="39"/>
      <c r="K513" s="40" t="s">
        <v>297</v>
      </c>
      <c r="L513" s="21">
        <v>4503</v>
      </c>
      <c r="M513" s="41"/>
      <c r="N513" s="42" t="s">
        <v>510</v>
      </c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</row>
    <row r="514" spans="1:27" ht="14.25" customHeight="1" x14ac:dyDescent="0.3">
      <c r="A514" s="27">
        <f t="shared" si="3"/>
        <v>4611</v>
      </c>
      <c r="B514" s="64">
        <v>43358</v>
      </c>
      <c r="C514" s="27"/>
      <c r="D514" s="27" t="s">
        <v>297</v>
      </c>
      <c r="E514" s="27"/>
      <c r="F514" s="27"/>
      <c r="G514" s="27">
        <v>30</v>
      </c>
      <c r="H514" s="28" t="s">
        <v>33</v>
      </c>
      <c r="I514" s="29">
        <v>4197</v>
      </c>
      <c r="J514" s="30"/>
      <c r="K514" s="47" t="s">
        <v>85</v>
      </c>
      <c r="L514" s="45">
        <v>4276</v>
      </c>
      <c r="M514" s="48"/>
      <c r="N514" s="33" t="s">
        <v>297</v>
      </c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14.25" customHeight="1" x14ac:dyDescent="0.3">
      <c r="A515" s="35">
        <f t="shared" si="3"/>
        <v>4612</v>
      </c>
      <c r="B515" s="60">
        <v>43359</v>
      </c>
      <c r="C515" s="35"/>
      <c r="D515" s="35" t="s">
        <v>464</v>
      </c>
      <c r="E515" s="35"/>
      <c r="F515" s="35"/>
      <c r="G515" s="35">
        <v>40</v>
      </c>
      <c r="H515" s="37" t="s">
        <v>114</v>
      </c>
      <c r="I515" s="38">
        <v>4205</v>
      </c>
      <c r="J515" s="39"/>
      <c r="K515" s="40" t="s">
        <v>37</v>
      </c>
      <c r="L515" s="21">
        <v>4252</v>
      </c>
      <c r="M515" s="41"/>
      <c r="N515" s="40" t="s">
        <v>464</v>
      </c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</row>
    <row r="516" spans="1:27" ht="14.25" customHeight="1" x14ac:dyDescent="0.3">
      <c r="A516" s="27">
        <f t="shared" si="3"/>
        <v>4613</v>
      </c>
      <c r="B516" s="64">
        <v>43359</v>
      </c>
      <c r="C516" s="27"/>
      <c r="D516" s="27" t="s">
        <v>37</v>
      </c>
      <c r="E516" s="27"/>
      <c r="F516" s="27"/>
      <c r="G516" s="27">
        <v>40</v>
      </c>
      <c r="H516" s="28" t="s">
        <v>114</v>
      </c>
      <c r="I516" s="29">
        <v>4205</v>
      </c>
      <c r="J516" s="30"/>
      <c r="K516" s="47" t="s">
        <v>37</v>
      </c>
      <c r="L516" s="45">
        <v>4252</v>
      </c>
      <c r="M516" s="48"/>
      <c r="N516" s="33" t="s">
        <v>464</v>
      </c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14.25" customHeight="1" x14ac:dyDescent="0.3">
      <c r="A517" s="35">
        <f t="shared" si="3"/>
        <v>4614</v>
      </c>
      <c r="B517" s="60">
        <v>43359</v>
      </c>
      <c r="C517" s="35"/>
      <c r="D517" s="35" t="s">
        <v>464</v>
      </c>
      <c r="E517" s="35" t="s">
        <v>37</v>
      </c>
      <c r="F517" s="35"/>
      <c r="G517" s="35">
        <v>30</v>
      </c>
      <c r="H517" s="37" t="s">
        <v>379</v>
      </c>
      <c r="I517" s="38">
        <v>4205</v>
      </c>
      <c r="J517" s="39"/>
      <c r="K517" s="40" t="s">
        <v>37</v>
      </c>
      <c r="L517" s="21">
        <v>4252</v>
      </c>
      <c r="M517" s="41"/>
      <c r="N517" s="40" t="s">
        <v>464</v>
      </c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</row>
    <row r="518" spans="1:27" ht="14.25" customHeight="1" x14ac:dyDescent="0.3">
      <c r="A518" s="27">
        <f t="shared" si="3"/>
        <v>4615</v>
      </c>
      <c r="B518" s="64">
        <v>43361</v>
      </c>
      <c r="C518" s="27"/>
      <c r="D518" s="27" t="s">
        <v>511</v>
      </c>
      <c r="E518" s="27"/>
      <c r="F518" s="27"/>
      <c r="G518" s="27">
        <v>5</v>
      </c>
      <c r="H518" s="28" t="s">
        <v>13</v>
      </c>
      <c r="I518" s="29"/>
      <c r="J518" s="30"/>
      <c r="K518" s="47"/>
      <c r="L518" s="45"/>
      <c r="M518" s="48"/>
      <c r="N518" s="33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14.25" customHeight="1" x14ac:dyDescent="0.3">
      <c r="A519" s="35">
        <f t="shared" si="3"/>
        <v>4616</v>
      </c>
      <c r="B519" s="60">
        <v>43360</v>
      </c>
      <c r="C519" s="35" t="s">
        <v>466</v>
      </c>
      <c r="D519" s="35"/>
      <c r="E519" s="35"/>
      <c r="F519" s="35"/>
      <c r="G519" s="35">
        <v>50</v>
      </c>
      <c r="H519" s="37" t="s">
        <v>114</v>
      </c>
      <c r="I519" s="38">
        <v>4253</v>
      </c>
      <c r="J519" s="39" t="s">
        <v>12</v>
      </c>
      <c r="K519" s="40"/>
      <c r="L519" s="21">
        <v>4104</v>
      </c>
      <c r="M519" s="41" t="s">
        <v>467</v>
      </c>
      <c r="N519" s="42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</row>
    <row r="520" spans="1:27" ht="14.25" customHeight="1" x14ac:dyDescent="0.3">
      <c r="A520" s="27">
        <f t="shared" si="3"/>
        <v>4617</v>
      </c>
      <c r="B520" s="79">
        <v>43361</v>
      </c>
      <c r="C520" s="27" t="s">
        <v>485</v>
      </c>
      <c r="D520" s="27" t="s">
        <v>512</v>
      </c>
      <c r="E520" s="27"/>
      <c r="F520" s="27"/>
      <c r="G520" s="27">
        <v>100</v>
      </c>
      <c r="H520" s="28" t="s">
        <v>251</v>
      </c>
      <c r="I520" s="29">
        <v>2490</v>
      </c>
      <c r="J520" s="30"/>
      <c r="K520" s="30" t="s">
        <v>512</v>
      </c>
      <c r="L520" s="85">
        <v>2490</v>
      </c>
      <c r="M520" s="30"/>
      <c r="N520" s="27" t="s">
        <v>512</v>
      </c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14.25" customHeight="1" x14ac:dyDescent="0.3">
      <c r="A521" s="35">
        <f t="shared" si="3"/>
        <v>4618</v>
      </c>
      <c r="B521" s="78">
        <v>43361</v>
      </c>
      <c r="C521" s="35"/>
      <c r="D521" s="35" t="s">
        <v>512</v>
      </c>
      <c r="E521" s="35"/>
      <c r="F521" s="35"/>
      <c r="G521" s="35">
        <v>100</v>
      </c>
      <c r="H521" s="37" t="s">
        <v>251</v>
      </c>
      <c r="I521" s="38">
        <v>2490</v>
      </c>
      <c r="J521" s="39"/>
      <c r="K521" s="39" t="s">
        <v>512</v>
      </c>
      <c r="L521" s="86">
        <v>2490</v>
      </c>
      <c r="M521" s="39"/>
      <c r="N521" s="35" t="s">
        <v>512</v>
      </c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</row>
    <row r="522" spans="1:27" ht="14.25" customHeight="1" x14ac:dyDescent="0.3">
      <c r="A522" s="27">
        <f t="shared" si="3"/>
        <v>4619</v>
      </c>
      <c r="B522" s="79">
        <v>43361</v>
      </c>
      <c r="C522" s="27"/>
      <c r="D522" s="27" t="s">
        <v>329</v>
      </c>
      <c r="E522" s="27"/>
      <c r="F522" s="27"/>
      <c r="G522" s="27">
        <v>100</v>
      </c>
      <c r="H522" s="28" t="s">
        <v>251</v>
      </c>
      <c r="I522" s="29">
        <v>4112</v>
      </c>
      <c r="J522" s="30"/>
      <c r="K522" s="30" t="s">
        <v>329</v>
      </c>
      <c r="L522" s="85">
        <v>4112</v>
      </c>
      <c r="M522" s="30"/>
      <c r="N522" s="27" t="s">
        <v>329</v>
      </c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14.25" customHeight="1" x14ac:dyDescent="0.3">
      <c r="A523" s="35">
        <f t="shared" si="3"/>
        <v>4620</v>
      </c>
      <c r="B523" s="78">
        <v>43361</v>
      </c>
      <c r="C523" s="35"/>
      <c r="D523" s="35" t="s">
        <v>329</v>
      </c>
      <c r="E523" s="35"/>
      <c r="F523" s="35"/>
      <c r="G523" s="35">
        <v>100</v>
      </c>
      <c r="H523" s="37" t="s">
        <v>251</v>
      </c>
      <c r="I523" s="38">
        <v>4112</v>
      </c>
      <c r="J523" s="39"/>
      <c r="K523" s="39" t="s">
        <v>329</v>
      </c>
      <c r="L523" s="86">
        <v>4112</v>
      </c>
      <c r="M523" s="39"/>
      <c r="N523" s="35" t="s">
        <v>329</v>
      </c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</row>
    <row r="524" spans="1:27" ht="14.25" customHeight="1" x14ac:dyDescent="0.3">
      <c r="A524" s="25">
        <f t="shared" si="3"/>
        <v>4621</v>
      </c>
      <c r="B524" s="79">
        <v>43361</v>
      </c>
      <c r="C524" s="27"/>
      <c r="D524" s="27" t="s">
        <v>329</v>
      </c>
      <c r="E524" s="27"/>
      <c r="F524" s="27"/>
      <c r="G524" s="27">
        <v>100</v>
      </c>
      <c r="H524" s="28" t="s">
        <v>251</v>
      </c>
      <c r="I524" s="29">
        <v>4112</v>
      </c>
      <c r="J524" s="30"/>
      <c r="K524" s="30" t="s">
        <v>329</v>
      </c>
      <c r="L524" s="85">
        <v>4112</v>
      </c>
      <c r="M524" s="30"/>
      <c r="N524" s="27" t="s">
        <v>329</v>
      </c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14.25" customHeight="1" x14ac:dyDescent="0.3">
      <c r="A525" s="35">
        <f t="shared" si="3"/>
        <v>4622</v>
      </c>
      <c r="B525" s="78">
        <v>43361</v>
      </c>
      <c r="C525" s="35"/>
      <c r="D525" s="35" t="s">
        <v>329</v>
      </c>
      <c r="E525" s="35"/>
      <c r="F525" s="35"/>
      <c r="G525" s="35">
        <v>100</v>
      </c>
      <c r="H525" s="37" t="s">
        <v>251</v>
      </c>
      <c r="I525" s="38">
        <v>4112</v>
      </c>
      <c r="J525" s="39"/>
      <c r="K525" s="39" t="s">
        <v>329</v>
      </c>
      <c r="L525" s="86">
        <v>4112</v>
      </c>
      <c r="M525" s="39"/>
      <c r="N525" s="35" t="s">
        <v>329</v>
      </c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</row>
    <row r="526" spans="1:27" ht="14.25" customHeight="1" x14ac:dyDescent="0.3">
      <c r="A526" s="27">
        <f t="shared" si="3"/>
        <v>4623</v>
      </c>
      <c r="B526" s="79">
        <v>43363</v>
      </c>
      <c r="C526" s="27"/>
      <c r="D526" s="27" t="s">
        <v>462</v>
      </c>
      <c r="E526" s="27"/>
      <c r="F526" s="27"/>
      <c r="G526" s="27">
        <v>100</v>
      </c>
      <c r="H526" s="28" t="s">
        <v>298</v>
      </c>
      <c r="I526" s="29">
        <v>4384</v>
      </c>
      <c r="J526" s="30"/>
      <c r="K526" s="47" t="s">
        <v>462</v>
      </c>
      <c r="L526" s="29">
        <v>4384</v>
      </c>
      <c r="M526" s="30"/>
      <c r="N526" s="47" t="s">
        <v>462</v>
      </c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14.25" customHeight="1" x14ac:dyDescent="0.3">
      <c r="A527" s="35">
        <f t="shared" si="3"/>
        <v>4624</v>
      </c>
      <c r="B527" s="78">
        <v>43363</v>
      </c>
      <c r="C527" s="35"/>
      <c r="D527" s="35" t="s">
        <v>462</v>
      </c>
      <c r="E527" s="35"/>
      <c r="F527" s="35"/>
      <c r="G527" s="35">
        <v>100</v>
      </c>
      <c r="H527" s="37" t="s">
        <v>298</v>
      </c>
      <c r="I527" s="38">
        <v>4386</v>
      </c>
      <c r="J527" s="39"/>
      <c r="K527" s="40" t="s">
        <v>462</v>
      </c>
      <c r="L527" s="21">
        <v>4385</v>
      </c>
      <c r="M527" s="41"/>
      <c r="N527" s="40" t="s">
        <v>462</v>
      </c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</row>
    <row r="528" spans="1:27" ht="14.25" customHeight="1" x14ac:dyDescent="0.3">
      <c r="A528" s="27">
        <f t="shared" si="3"/>
        <v>4625</v>
      </c>
      <c r="B528" s="79">
        <v>43363</v>
      </c>
      <c r="C528" s="27"/>
      <c r="D528" s="27" t="s">
        <v>385</v>
      </c>
      <c r="E528" s="27"/>
      <c r="F528" s="27"/>
      <c r="G528" s="27">
        <v>100</v>
      </c>
      <c r="H528" s="28" t="s">
        <v>298</v>
      </c>
      <c r="I528" s="29">
        <v>2793</v>
      </c>
      <c r="J528" s="30"/>
      <c r="K528" s="47" t="s">
        <v>385</v>
      </c>
      <c r="L528" s="29">
        <v>2793</v>
      </c>
      <c r="M528" s="30"/>
      <c r="N528" s="47" t="s">
        <v>385</v>
      </c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14.25" customHeight="1" x14ac:dyDescent="0.3">
      <c r="A529" s="25">
        <f t="shared" si="3"/>
        <v>4626</v>
      </c>
      <c r="B529" s="60">
        <v>43363</v>
      </c>
      <c r="C529" s="35"/>
      <c r="D529" s="35" t="s">
        <v>513</v>
      </c>
      <c r="E529" s="35" t="s">
        <v>514</v>
      </c>
      <c r="F529" s="35"/>
      <c r="G529" s="35">
        <v>15</v>
      </c>
      <c r="H529" s="37" t="s">
        <v>379</v>
      </c>
      <c r="I529" s="38">
        <v>4458</v>
      </c>
      <c r="J529" s="39"/>
      <c r="K529" s="40" t="s">
        <v>513</v>
      </c>
      <c r="L529" s="38">
        <v>4458</v>
      </c>
      <c r="M529" s="39"/>
      <c r="N529" s="40" t="s">
        <v>513</v>
      </c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</row>
    <row r="530" spans="1:27" ht="14.25" customHeight="1" x14ac:dyDescent="0.3">
      <c r="A530" s="27">
        <f t="shared" si="3"/>
        <v>4627</v>
      </c>
      <c r="B530" s="79">
        <v>43363</v>
      </c>
      <c r="C530" s="27"/>
      <c r="D530" s="27" t="s">
        <v>513</v>
      </c>
      <c r="E530" s="27" t="s">
        <v>515</v>
      </c>
      <c r="F530" s="27"/>
      <c r="G530" s="27">
        <v>15</v>
      </c>
      <c r="H530" s="28" t="s">
        <v>379</v>
      </c>
      <c r="I530" s="29">
        <v>4458</v>
      </c>
      <c r="J530" s="30"/>
      <c r="K530" s="47" t="s">
        <v>513</v>
      </c>
      <c r="L530" s="29">
        <v>4458</v>
      </c>
      <c r="M530" s="30"/>
      <c r="N530" s="47" t="s">
        <v>513</v>
      </c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14.25" customHeight="1" x14ac:dyDescent="0.3">
      <c r="A531" s="35">
        <f t="shared" si="3"/>
        <v>4628</v>
      </c>
      <c r="B531" s="78">
        <v>43365</v>
      </c>
      <c r="C531" s="35"/>
      <c r="D531" s="84" t="s">
        <v>223</v>
      </c>
      <c r="E531" s="35" t="s">
        <v>516</v>
      </c>
      <c r="F531" s="35"/>
      <c r="G531" s="35">
        <v>10</v>
      </c>
      <c r="H531" s="37" t="s">
        <v>33</v>
      </c>
      <c r="I531" s="38">
        <v>4197</v>
      </c>
      <c r="J531" s="39"/>
      <c r="K531" s="40" t="s">
        <v>85</v>
      </c>
      <c r="L531" s="21">
        <v>4503</v>
      </c>
      <c r="M531" s="41"/>
      <c r="N531" s="42" t="s">
        <v>517</v>
      </c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</row>
    <row r="532" spans="1:27" ht="14.25" customHeight="1" x14ac:dyDescent="0.3">
      <c r="A532" s="27">
        <f t="shared" si="3"/>
        <v>4629</v>
      </c>
      <c r="B532" s="79">
        <v>43365</v>
      </c>
      <c r="C532" s="27"/>
      <c r="D532" s="27" t="s">
        <v>297</v>
      </c>
      <c r="E532" s="27"/>
      <c r="F532" s="27"/>
      <c r="G532" s="27">
        <v>80</v>
      </c>
      <c r="H532" s="28" t="s">
        <v>33</v>
      </c>
      <c r="I532" s="29">
        <v>4276</v>
      </c>
      <c r="J532" s="30"/>
      <c r="K532" s="47" t="s">
        <v>297</v>
      </c>
      <c r="L532" s="45">
        <v>4197</v>
      </c>
      <c r="M532" s="48"/>
      <c r="N532" s="33" t="s">
        <v>85</v>
      </c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14.25" customHeight="1" x14ac:dyDescent="0.3">
      <c r="A533" s="35">
        <f t="shared" si="3"/>
        <v>4630</v>
      </c>
      <c r="B533" s="60">
        <v>43370</v>
      </c>
      <c r="C533" s="35"/>
      <c r="D533" s="35" t="s">
        <v>518</v>
      </c>
      <c r="E533" s="35"/>
      <c r="F533" s="35"/>
      <c r="G533" s="35">
        <v>3</v>
      </c>
      <c r="H533" s="37" t="s">
        <v>13</v>
      </c>
      <c r="I533" s="38"/>
      <c r="J533" s="39"/>
      <c r="K533" s="40"/>
      <c r="L533" s="21"/>
      <c r="M533" s="41"/>
      <c r="N533" s="42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</row>
    <row r="534" spans="1:27" ht="14.25" customHeight="1" x14ac:dyDescent="0.3">
      <c r="A534" s="27">
        <f t="shared" si="3"/>
        <v>4631</v>
      </c>
      <c r="B534" s="64">
        <v>43370</v>
      </c>
      <c r="C534" s="27"/>
      <c r="D534" s="27" t="s">
        <v>519</v>
      </c>
      <c r="E534" s="27"/>
      <c r="F534" s="27"/>
      <c r="G534" s="27">
        <v>4</v>
      </c>
      <c r="H534" s="28" t="s">
        <v>13</v>
      </c>
      <c r="I534" s="29"/>
      <c r="J534" s="30"/>
      <c r="K534" s="47"/>
      <c r="L534" s="45"/>
      <c r="M534" s="48"/>
      <c r="N534" s="33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14.25" customHeight="1" x14ac:dyDescent="0.3">
      <c r="A535" s="35">
        <f t="shared" si="3"/>
        <v>4632</v>
      </c>
      <c r="B535" s="60">
        <v>43370</v>
      </c>
      <c r="C535" s="35"/>
      <c r="D535" s="35" t="s">
        <v>520</v>
      </c>
      <c r="E535" s="35"/>
      <c r="F535" s="35"/>
      <c r="G535" s="35">
        <v>3</v>
      </c>
      <c r="H535" s="37" t="s">
        <v>13</v>
      </c>
      <c r="I535" s="38"/>
      <c r="J535" s="39"/>
      <c r="K535" s="40"/>
      <c r="L535" s="21"/>
      <c r="M535" s="41"/>
      <c r="N535" s="42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</row>
    <row r="536" spans="1:27" ht="14.25" customHeight="1" x14ac:dyDescent="0.3">
      <c r="A536" s="27">
        <f t="shared" si="3"/>
        <v>4633</v>
      </c>
      <c r="B536" s="64">
        <v>43370</v>
      </c>
      <c r="C536" s="27"/>
      <c r="D536" s="27" t="s">
        <v>521</v>
      </c>
      <c r="E536" s="27"/>
      <c r="F536" s="27"/>
      <c r="G536" s="27">
        <v>10</v>
      </c>
      <c r="H536" s="28" t="s">
        <v>13</v>
      </c>
      <c r="I536" s="29"/>
      <c r="J536" s="30"/>
      <c r="K536" s="47"/>
      <c r="L536" s="45"/>
      <c r="M536" s="48"/>
      <c r="N536" s="33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14.25" customHeight="1" x14ac:dyDescent="0.3">
      <c r="A537" s="35">
        <f t="shared" si="3"/>
        <v>4634</v>
      </c>
      <c r="B537" s="60">
        <v>43370</v>
      </c>
      <c r="C537" s="35"/>
      <c r="D537" s="35" t="s">
        <v>522</v>
      </c>
      <c r="E537" s="35"/>
      <c r="F537" s="35"/>
      <c r="G537" s="35">
        <v>4</v>
      </c>
      <c r="H537" s="37" t="s">
        <v>13</v>
      </c>
      <c r="I537" s="38"/>
      <c r="J537" s="39"/>
      <c r="K537" s="40"/>
      <c r="L537" s="21"/>
      <c r="M537" s="41"/>
      <c r="N537" s="42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</row>
    <row r="538" spans="1:27" ht="14.25" customHeight="1" x14ac:dyDescent="0.3">
      <c r="A538" s="27">
        <f t="shared" si="3"/>
        <v>4635</v>
      </c>
      <c r="B538" s="79">
        <v>43370</v>
      </c>
      <c r="C538" s="27"/>
      <c r="D538" s="27" t="s">
        <v>523</v>
      </c>
      <c r="E538" s="27"/>
      <c r="F538" s="27"/>
      <c r="G538" s="27">
        <v>100</v>
      </c>
      <c r="H538" s="28" t="s">
        <v>251</v>
      </c>
      <c r="I538" s="29">
        <v>4151</v>
      </c>
      <c r="J538" s="30"/>
      <c r="K538" s="47" t="s">
        <v>523</v>
      </c>
      <c r="L538" s="45">
        <v>2490</v>
      </c>
      <c r="M538" s="48"/>
      <c r="N538" s="33" t="s">
        <v>524</v>
      </c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14.25" customHeight="1" x14ac:dyDescent="0.3">
      <c r="A539" s="35">
        <f t="shared" si="3"/>
        <v>4636</v>
      </c>
      <c r="B539" s="60">
        <v>43370</v>
      </c>
      <c r="C539" s="35"/>
      <c r="D539" s="35" t="s">
        <v>482</v>
      </c>
      <c r="E539" s="35" t="s">
        <v>525</v>
      </c>
      <c r="F539" s="35" t="s">
        <v>526</v>
      </c>
      <c r="G539" s="35">
        <v>4</v>
      </c>
      <c r="H539" s="37" t="s">
        <v>108</v>
      </c>
      <c r="I539" s="38">
        <v>4218</v>
      </c>
      <c r="J539" s="39"/>
      <c r="K539" s="40" t="s">
        <v>527</v>
      </c>
      <c r="L539" s="21">
        <v>4218</v>
      </c>
      <c r="M539" s="41"/>
      <c r="N539" s="42" t="s">
        <v>528</v>
      </c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</row>
    <row r="540" spans="1:27" ht="14.25" customHeight="1" x14ac:dyDescent="0.3">
      <c r="A540" s="27">
        <f t="shared" si="3"/>
        <v>4637</v>
      </c>
      <c r="B540" s="64">
        <v>43370</v>
      </c>
      <c r="C540" s="27"/>
      <c r="D540" s="27" t="s">
        <v>161</v>
      </c>
      <c r="E540" s="27" t="s">
        <v>207</v>
      </c>
      <c r="F540" s="27"/>
      <c r="G540" s="27">
        <v>50</v>
      </c>
      <c r="H540" s="28" t="s">
        <v>108</v>
      </c>
      <c r="I540" s="29">
        <v>3033</v>
      </c>
      <c r="J540" s="30"/>
      <c r="K540" s="47" t="s">
        <v>529</v>
      </c>
      <c r="L540" s="45">
        <v>3033</v>
      </c>
      <c r="M540" s="48"/>
      <c r="N540" s="33" t="s">
        <v>529</v>
      </c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14.25" customHeight="1" x14ac:dyDescent="0.3">
      <c r="A541" s="35">
        <f t="shared" si="3"/>
        <v>4638</v>
      </c>
      <c r="B541" s="60">
        <v>43375</v>
      </c>
      <c r="C541" s="35"/>
      <c r="D541" s="35" t="s">
        <v>530</v>
      </c>
      <c r="E541" s="35"/>
      <c r="F541" s="35"/>
      <c r="G541" s="35">
        <v>6</v>
      </c>
      <c r="H541" s="37" t="s">
        <v>114</v>
      </c>
      <c r="I541" s="38">
        <v>4210</v>
      </c>
      <c r="J541" s="39" t="s">
        <v>85</v>
      </c>
      <c r="K541" s="40"/>
      <c r="L541" s="21">
        <v>4396</v>
      </c>
      <c r="M541" s="41"/>
      <c r="N541" s="42" t="s">
        <v>531</v>
      </c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</row>
    <row r="542" spans="1:27" ht="14.25" customHeight="1" x14ac:dyDescent="0.3">
      <c r="A542" s="27">
        <f t="shared" si="3"/>
        <v>4639</v>
      </c>
      <c r="B542" s="64">
        <v>43378</v>
      </c>
      <c r="C542" s="27"/>
      <c r="D542" s="27" t="s">
        <v>346</v>
      </c>
      <c r="E542" s="27"/>
      <c r="F542" s="27"/>
      <c r="G542" s="27">
        <v>60</v>
      </c>
      <c r="H542" s="28" t="s">
        <v>13</v>
      </c>
      <c r="I542" s="29"/>
      <c r="J542" s="30"/>
      <c r="K542" s="47"/>
      <c r="L542" s="45"/>
      <c r="M542" s="48"/>
      <c r="N542" s="33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14.25" customHeight="1" x14ac:dyDescent="0.3">
      <c r="A543" s="35">
        <f t="shared" si="3"/>
        <v>4640</v>
      </c>
      <c r="B543" s="78">
        <v>43375</v>
      </c>
      <c r="C543" s="35"/>
      <c r="D543" s="35" t="s">
        <v>532</v>
      </c>
      <c r="E543" s="35"/>
      <c r="F543" s="35"/>
      <c r="G543" s="35">
        <v>40</v>
      </c>
      <c r="H543" s="37" t="s">
        <v>251</v>
      </c>
      <c r="I543" s="38">
        <v>2960</v>
      </c>
      <c r="J543" s="39" t="s">
        <v>12</v>
      </c>
      <c r="K543" s="40"/>
      <c r="L543" s="21">
        <v>2960</v>
      </c>
      <c r="M543" s="41" t="s">
        <v>12</v>
      </c>
      <c r="N543" s="42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</row>
    <row r="544" spans="1:27" ht="14.25" customHeight="1" x14ac:dyDescent="0.3">
      <c r="A544" s="25">
        <f t="shared" si="3"/>
        <v>4641</v>
      </c>
      <c r="B544" s="79">
        <v>43375</v>
      </c>
      <c r="C544" s="27" t="s">
        <v>533</v>
      </c>
      <c r="D544" s="27" t="s">
        <v>272</v>
      </c>
      <c r="E544" s="27"/>
      <c r="F544" s="27"/>
      <c r="G544" s="27">
        <v>30</v>
      </c>
      <c r="H544" s="28" t="s">
        <v>50</v>
      </c>
      <c r="I544" s="29">
        <v>4236</v>
      </c>
      <c r="J544" s="30"/>
      <c r="K544" s="47" t="s">
        <v>57</v>
      </c>
      <c r="L544" s="45">
        <v>4504</v>
      </c>
      <c r="M544" s="48" t="s">
        <v>534</v>
      </c>
      <c r="N544" s="33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14.25" customHeight="1" x14ac:dyDescent="0.3">
      <c r="A545" s="25">
        <f t="shared" si="3"/>
        <v>4642</v>
      </c>
      <c r="B545" s="78">
        <v>43375</v>
      </c>
      <c r="C545" s="35" t="s">
        <v>533</v>
      </c>
      <c r="D545" s="35" t="s">
        <v>275</v>
      </c>
      <c r="E545" s="35"/>
      <c r="F545" s="35"/>
      <c r="G545" s="35">
        <v>40</v>
      </c>
      <c r="H545" s="37" t="s">
        <v>50</v>
      </c>
      <c r="I545" s="38">
        <v>3100</v>
      </c>
      <c r="J545" s="39"/>
      <c r="K545" s="35" t="s">
        <v>70</v>
      </c>
      <c r="L545" s="21">
        <v>4504</v>
      </c>
      <c r="M545" s="41" t="s">
        <v>534</v>
      </c>
      <c r="N545" s="42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</row>
    <row r="546" spans="1:27" ht="14.25" customHeight="1" x14ac:dyDescent="0.3">
      <c r="A546" s="27">
        <f t="shared" si="3"/>
        <v>4643</v>
      </c>
      <c r="B546" s="79">
        <v>43375</v>
      </c>
      <c r="C546" s="27"/>
      <c r="D546" s="27" t="s">
        <v>535</v>
      </c>
      <c r="E546" s="27"/>
      <c r="F546" s="27"/>
      <c r="G546" s="27">
        <v>50</v>
      </c>
      <c r="H546" s="28" t="s">
        <v>50</v>
      </c>
      <c r="I546" s="29">
        <v>4000</v>
      </c>
      <c r="J546" s="30" t="s">
        <v>12</v>
      </c>
      <c r="K546" s="47"/>
      <c r="L546" s="45">
        <v>4000</v>
      </c>
      <c r="M546" s="30" t="s">
        <v>12</v>
      </c>
      <c r="N546" s="33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14.25" customHeight="1" x14ac:dyDescent="0.3">
      <c r="A547" s="35">
        <f t="shared" si="3"/>
        <v>4644</v>
      </c>
      <c r="B547" s="78">
        <v>43375</v>
      </c>
      <c r="C547" s="35"/>
      <c r="D547" s="35" t="s">
        <v>536</v>
      </c>
      <c r="E547" s="35"/>
      <c r="F547" s="35"/>
      <c r="G547" s="35">
        <v>50</v>
      </c>
      <c r="H547" s="37" t="s">
        <v>50</v>
      </c>
      <c r="I547" s="38">
        <v>4000</v>
      </c>
      <c r="J547" s="39" t="s">
        <v>12</v>
      </c>
      <c r="K547" s="40"/>
      <c r="L547" s="21">
        <v>4000</v>
      </c>
      <c r="M547" s="39" t="s">
        <v>12</v>
      </c>
      <c r="N547" s="42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</row>
    <row r="548" spans="1:27" ht="14.25" customHeight="1" x14ac:dyDescent="0.3">
      <c r="A548" s="25">
        <f t="shared" si="3"/>
        <v>4645</v>
      </c>
      <c r="B548" s="79">
        <v>43375</v>
      </c>
      <c r="C548" s="27"/>
      <c r="D548" s="27" t="s">
        <v>537</v>
      </c>
      <c r="E548" s="27"/>
      <c r="F548" s="27"/>
      <c r="G548" s="27">
        <v>12</v>
      </c>
      <c r="H548" s="28" t="s">
        <v>50</v>
      </c>
      <c r="I548" s="29">
        <v>4000</v>
      </c>
      <c r="J548" s="30" t="s">
        <v>12</v>
      </c>
      <c r="K548" s="47"/>
      <c r="L548" s="45">
        <v>4000</v>
      </c>
      <c r="M548" s="30" t="s">
        <v>12</v>
      </c>
      <c r="N548" s="33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14.25" customHeight="1" x14ac:dyDescent="0.3">
      <c r="A549" s="35">
        <f t="shared" si="3"/>
        <v>4646</v>
      </c>
      <c r="B549" s="78">
        <v>43375</v>
      </c>
      <c r="C549" s="35" t="s">
        <v>533</v>
      </c>
      <c r="D549" s="35"/>
      <c r="E549" s="35"/>
      <c r="F549" s="35"/>
      <c r="G549" s="35">
        <v>150</v>
      </c>
      <c r="H549" s="37" t="s">
        <v>50</v>
      </c>
      <c r="I549" s="38">
        <v>4236</v>
      </c>
      <c r="J549" s="39"/>
      <c r="K549" s="40" t="s">
        <v>57</v>
      </c>
      <c r="L549" s="21">
        <v>4504</v>
      </c>
      <c r="M549" s="41" t="s">
        <v>534</v>
      </c>
      <c r="N549" s="42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</row>
    <row r="550" spans="1:27" ht="14.25" customHeight="1" x14ac:dyDescent="0.3">
      <c r="A550" s="27">
        <f t="shared" si="3"/>
        <v>4647</v>
      </c>
      <c r="B550" s="79">
        <v>43377</v>
      </c>
      <c r="C550" s="27"/>
      <c r="D550" s="27" t="s">
        <v>538</v>
      </c>
      <c r="E550" s="27"/>
      <c r="F550" s="27"/>
      <c r="G550" s="27">
        <v>9</v>
      </c>
      <c r="H550" s="28" t="s">
        <v>379</v>
      </c>
      <c r="I550" s="29">
        <v>4460</v>
      </c>
      <c r="J550" s="30" t="s">
        <v>12</v>
      </c>
      <c r="K550" s="47"/>
      <c r="L550" s="45">
        <v>4460</v>
      </c>
      <c r="M550" s="48" t="s">
        <v>12</v>
      </c>
      <c r="N550" s="33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14.25" customHeight="1" x14ac:dyDescent="0.3">
      <c r="A551" s="25">
        <f t="shared" si="3"/>
        <v>4648</v>
      </c>
      <c r="B551" s="78">
        <v>43377</v>
      </c>
      <c r="C551" s="35"/>
      <c r="D551" s="35" t="s">
        <v>539</v>
      </c>
      <c r="E551" s="35"/>
      <c r="F551" s="35"/>
      <c r="G551" s="35">
        <v>80</v>
      </c>
      <c r="H551" s="37" t="s">
        <v>379</v>
      </c>
      <c r="I551" s="38" t="s">
        <v>540</v>
      </c>
      <c r="J551" s="39" t="s">
        <v>12</v>
      </c>
      <c r="K551" s="40"/>
      <c r="L551" s="21" t="s">
        <v>540</v>
      </c>
      <c r="M551" s="41" t="s">
        <v>12</v>
      </c>
      <c r="N551" s="42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</row>
    <row r="552" spans="1:27" ht="14.25" customHeight="1" x14ac:dyDescent="0.3">
      <c r="A552" s="27">
        <f t="shared" si="3"/>
        <v>4649</v>
      </c>
      <c r="B552" s="64">
        <v>43380</v>
      </c>
      <c r="C552" s="27"/>
      <c r="D552" s="27" t="s">
        <v>541</v>
      </c>
      <c r="E552" s="27"/>
      <c r="F552" s="27"/>
      <c r="G552" s="27">
        <v>20</v>
      </c>
      <c r="H552" s="28" t="s">
        <v>108</v>
      </c>
      <c r="I552" s="29" t="s">
        <v>542</v>
      </c>
      <c r="J552" s="30"/>
      <c r="K552" s="47" t="s">
        <v>543</v>
      </c>
      <c r="L552" s="45" t="s">
        <v>542</v>
      </c>
      <c r="M552" s="48"/>
      <c r="N552" s="87" t="s">
        <v>544</v>
      </c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14.25" customHeight="1" x14ac:dyDescent="0.3">
      <c r="A553" s="35">
        <f t="shared" si="3"/>
        <v>4650</v>
      </c>
      <c r="B553" s="60">
        <v>43380</v>
      </c>
      <c r="C553" s="35"/>
      <c r="D553" s="35" t="s">
        <v>545</v>
      </c>
      <c r="E553" s="35"/>
      <c r="F553" s="35"/>
      <c r="G553" s="35">
        <v>20</v>
      </c>
      <c r="H553" s="37" t="s">
        <v>108</v>
      </c>
      <c r="I553" s="38" t="s">
        <v>542</v>
      </c>
      <c r="J553" s="39"/>
      <c r="K553" s="40" t="s">
        <v>543</v>
      </c>
      <c r="L553" s="21" t="s">
        <v>542</v>
      </c>
      <c r="M553" s="41"/>
      <c r="N553" s="42" t="s">
        <v>546</v>
      </c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</row>
    <row r="554" spans="1:27" ht="14.25" customHeight="1" x14ac:dyDescent="0.3">
      <c r="A554" s="27">
        <f t="shared" si="3"/>
        <v>4651</v>
      </c>
      <c r="B554" s="64">
        <v>43380</v>
      </c>
      <c r="C554" s="27"/>
      <c r="D554" s="27" t="s">
        <v>543</v>
      </c>
      <c r="E554" s="27"/>
      <c r="F554" s="27"/>
      <c r="G554" s="27">
        <v>10</v>
      </c>
      <c r="H554" s="28" t="s">
        <v>108</v>
      </c>
      <c r="I554" s="29" t="s">
        <v>542</v>
      </c>
      <c r="J554" s="30"/>
      <c r="K554" s="47" t="s">
        <v>543</v>
      </c>
      <c r="L554" s="45" t="s">
        <v>542</v>
      </c>
      <c r="M554" s="48"/>
      <c r="N554" s="33" t="s">
        <v>544</v>
      </c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14.25" customHeight="1" x14ac:dyDescent="0.3">
      <c r="A555" s="25">
        <f t="shared" si="3"/>
        <v>4652</v>
      </c>
      <c r="B555" s="60">
        <v>43381</v>
      </c>
      <c r="C555" s="35"/>
      <c r="D555" s="35" t="s">
        <v>547</v>
      </c>
      <c r="E555" s="35"/>
      <c r="F555" s="35"/>
      <c r="G555" s="35">
        <v>10</v>
      </c>
      <c r="H555" s="37" t="s">
        <v>379</v>
      </c>
      <c r="I555" s="38" t="s">
        <v>548</v>
      </c>
      <c r="J555" s="39" t="s">
        <v>12</v>
      </c>
      <c r="K555" s="40"/>
      <c r="L555" s="21" t="s">
        <v>548</v>
      </c>
      <c r="M555" s="41" t="s">
        <v>12</v>
      </c>
      <c r="N555" s="42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</row>
    <row r="556" spans="1:27" ht="14.25" customHeight="1" x14ac:dyDescent="0.3">
      <c r="A556" s="27">
        <f t="shared" si="3"/>
        <v>4653</v>
      </c>
      <c r="B556" s="64">
        <v>43384</v>
      </c>
      <c r="C556" s="27" t="s">
        <v>549</v>
      </c>
      <c r="D556" s="27"/>
      <c r="E556" s="27"/>
      <c r="F556" s="27"/>
      <c r="G556" s="27">
        <v>20</v>
      </c>
      <c r="H556" s="28" t="s">
        <v>13</v>
      </c>
      <c r="I556" s="29">
        <v>4486</v>
      </c>
      <c r="J556" s="67" t="s">
        <v>398</v>
      </c>
      <c r="K556" s="67" t="s">
        <v>148</v>
      </c>
      <c r="L556" s="45">
        <v>4486</v>
      </c>
      <c r="M556" s="67" t="s">
        <v>398</v>
      </c>
      <c r="N556" s="67" t="s">
        <v>148</v>
      </c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14.25" customHeight="1" x14ac:dyDescent="0.3">
      <c r="A557" s="35">
        <f t="shared" si="3"/>
        <v>4654</v>
      </c>
      <c r="B557" s="60">
        <v>43388</v>
      </c>
      <c r="C557" s="35" t="s">
        <v>550</v>
      </c>
      <c r="D557" s="35"/>
      <c r="E557" s="35"/>
      <c r="F557" s="35"/>
      <c r="G557" s="35" t="s">
        <v>551</v>
      </c>
      <c r="H557" s="37" t="s">
        <v>108</v>
      </c>
      <c r="I557" s="38">
        <v>4529</v>
      </c>
      <c r="J557" s="39" t="s">
        <v>550</v>
      </c>
      <c r="K557" s="40"/>
      <c r="L557" s="21">
        <v>4529</v>
      </c>
      <c r="M557" s="41" t="s">
        <v>550</v>
      </c>
      <c r="N557" s="42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</row>
    <row r="558" spans="1:27" ht="14.25" customHeight="1" x14ac:dyDescent="0.3">
      <c r="A558" s="27">
        <f t="shared" si="3"/>
        <v>4655</v>
      </c>
      <c r="B558" s="64">
        <v>43385</v>
      </c>
      <c r="C558" s="27" t="s">
        <v>533</v>
      </c>
      <c r="D558" s="50" t="s">
        <v>180</v>
      </c>
      <c r="E558" s="27"/>
      <c r="F558" s="27"/>
      <c r="G558" s="27">
        <v>30</v>
      </c>
      <c r="H558" s="28" t="s">
        <v>50</v>
      </c>
      <c r="I558" s="29">
        <v>4516</v>
      </c>
      <c r="J558" s="30" t="s">
        <v>552</v>
      </c>
      <c r="K558" s="47"/>
      <c r="L558" s="45">
        <v>4170</v>
      </c>
      <c r="M558" s="48"/>
      <c r="N558" s="33" t="s">
        <v>180</v>
      </c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14.25" customHeight="1" x14ac:dyDescent="0.3">
      <c r="A559" s="35">
        <f t="shared" si="3"/>
        <v>4656</v>
      </c>
      <c r="B559" s="60">
        <v>43385</v>
      </c>
      <c r="C559" s="35" t="s">
        <v>553</v>
      </c>
      <c r="D559" s="35" t="s">
        <v>57</v>
      </c>
      <c r="E559" s="35"/>
      <c r="F559" s="35"/>
      <c r="G559" s="35">
        <v>70</v>
      </c>
      <c r="H559" s="37" t="s">
        <v>50</v>
      </c>
      <c r="I559" s="38">
        <v>4492</v>
      </c>
      <c r="J559" s="39" t="s">
        <v>554</v>
      </c>
      <c r="K559" s="40"/>
      <c r="L559" s="21">
        <v>4236</v>
      </c>
      <c r="M559" s="41"/>
      <c r="N559" s="42" t="s">
        <v>57</v>
      </c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</row>
    <row r="560" spans="1:27" ht="14.25" customHeight="1" x14ac:dyDescent="0.3">
      <c r="A560" s="27">
        <f t="shared" si="3"/>
        <v>4657</v>
      </c>
      <c r="B560" s="64">
        <v>43390</v>
      </c>
      <c r="C560" s="27" t="s">
        <v>555</v>
      </c>
      <c r="D560" s="27"/>
      <c r="E560" s="27"/>
      <c r="F560" s="27"/>
      <c r="G560" s="27">
        <v>25</v>
      </c>
      <c r="H560" s="28" t="s">
        <v>114</v>
      </c>
      <c r="I560" s="29">
        <v>4512</v>
      </c>
      <c r="J560" s="30" t="s">
        <v>556</v>
      </c>
      <c r="K560" s="47"/>
      <c r="L560" s="45">
        <v>4210</v>
      </c>
      <c r="M560" s="48" t="s">
        <v>85</v>
      </c>
      <c r="N560" s="33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</row>
    <row r="561" spans="1:27" ht="14.25" customHeight="1" x14ac:dyDescent="0.3">
      <c r="A561" s="35">
        <f t="shared" si="3"/>
        <v>4658</v>
      </c>
      <c r="B561" s="60">
        <v>43395</v>
      </c>
      <c r="C561" s="35"/>
      <c r="D561" s="35" t="s">
        <v>557</v>
      </c>
      <c r="E561" s="35"/>
      <c r="F561" s="35"/>
      <c r="G561" s="35">
        <v>110</v>
      </c>
      <c r="H561" s="37" t="s">
        <v>379</v>
      </c>
      <c r="I561" s="38">
        <v>2985</v>
      </c>
      <c r="J561" s="39" t="s">
        <v>12</v>
      </c>
      <c r="K561" s="40"/>
      <c r="L561" s="21">
        <v>2985</v>
      </c>
      <c r="M561" s="41" t="s">
        <v>12</v>
      </c>
      <c r="N561" s="42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</row>
    <row r="562" spans="1:27" ht="14.25" customHeight="1" x14ac:dyDescent="0.3">
      <c r="A562" s="27">
        <f t="shared" si="3"/>
        <v>4659</v>
      </c>
      <c r="B562" s="64">
        <v>43395</v>
      </c>
      <c r="C562" s="27" t="s">
        <v>12</v>
      </c>
      <c r="D562" s="27"/>
      <c r="E562" s="27"/>
      <c r="F562" s="27"/>
      <c r="G562" s="27">
        <v>70</v>
      </c>
      <c r="H562" s="28" t="s">
        <v>13</v>
      </c>
      <c r="I562" s="29">
        <v>4472</v>
      </c>
      <c r="J562" s="30" t="s">
        <v>12</v>
      </c>
      <c r="K562" s="47"/>
      <c r="L562" s="45">
        <v>4472</v>
      </c>
      <c r="M562" s="48" t="s">
        <v>12</v>
      </c>
      <c r="N562" s="33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14.25" customHeight="1" x14ac:dyDescent="0.3">
      <c r="A563" s="35">
        <f t="shared" si="3"/>
        <v>4660</v>
      </c>
      <c r="B563" s="60">
        <v>43401</v>
      </c>
      <c r="C563" s="35"/>
      <c r="D563" s="35" t="s">
        <v>84</v>
      </c>
      <c r="E563" s="35" t="s">
        <v>89</v>
      </c>
      <c r="F563" s="35"/>
      <c r="G563" s="35">
        <v>30</v>
      </c>
      <c r="H563" s="37" t="s">
        <v>33</v>
      </c>
      <c r="I563" s="38">
        <v>4197</v>
      </c>
      <c r="J563" s="39" t="s">
        <v>12</v>
      </c>
      <c r="K563" s="40"/>
      <c r="L563" s="21">
        <v>2841</v>
      </c>
      <c r="N563" s="41" t="s">
        <v>558</v>
      </c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</row>
    <row r="564" spans="1:27" ht="14.25" customHeight="1" x14ac:dyDescent="0.3">
      <c r="A564" s="27">
        <f t="shared" si="3"/>
        <v>4661</v>
      </c>
      <c r="B564" s="64">
        <v>43401</v>
      </c>
      <c r="C564" s="27"/>
      <c r="D564" s="48" t="s">
        <v>87</v>
      </c>
      <c r="E564" s="66" t="s">
        <v>89</v>
      </c>
      <c r="F564" s="27"/>
      <c r="G564" s="27">
        <v>35</v>
      </c>
      <c r="H564" s="28" t="s">
        <v>33</v>
      </c>
      <c r="I564" s="29">
        <v>4197</v>
      </c>
      <c r="J564" s="30" t="s">
        <v>12</v>
      </c>
      <c r="K564" s="47"/>
      <c r="L564" s="45">
        <v>4224</v>
      </c>
      <c r="N564" s="48" t="s">
        <v>559</v>
      </c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14.25" customHeight="1" x14ac:dyDescent="0.3">
      <c r="A565" s="35">
        <f t="shared" ref="A565:A626" si="4">A564+1</f>
        <v>4662</v>
      </c>
      <c r="B565" s="60">
        <v>43399</v>
      </c>
      <c r="C565" s="35" t="s">
        <v>560</v>
      </c>
      <c r="D565" s="35"/>
      <c r="E565" s="35"/>
      <c r="F565" s="35"/>
      <c r="G565" s="35">
        <v>40</v>
      </c>
      <c r="H565" s="37" t="s">
        <v>561</v>
      </c>
      <c r="I565" s="38">
        <v>2964</v>
      </c>
      <c r="J565" s="39" t="s">
        <v>12</v>
      </c>
      <c r="K565" s="40"/>
      <c r="L565" s="21"/>
      <c r="M565" s="41"/>
      <c r="N565" s="42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</row>
    <row r="566" spans="1:27" ht="14.25" customHeight="1" x14ac:dyDescent="0.3">
      <c r="A566" s="27">
        <f t="shared" si="4"/>
        <v>4663</v>
      </c>
      <c r="B566" s="64">
        <v>43402</v>
      </c>
      <c r="C566" s="27"/>
      <c r="D566" s="27" t="s">
        <v>532</v>
      </c>
      <c r="E566" s="27" t="s">
        <v>180</v>
      </c>
      <c r="F566" s="27"/>
      <c r="G566" s="27">
        <v>75</v>
      </c>
      <c r="H566" s="28" t="s">
        <v>251</v>
      </c>
      <c r="I566" s="29">
        <v>2862</v>
      </c>
      <c r="J566" s="30"/>
      <c r="K566" s="27" t="s">
        <v>180</v>
      </c>
      <c r="L566" s="45">
        <v>2862</v>
      </c>
      <c r="M566" s="27" t="s">
        <v>180</v>
      </c>
      <c r="N566" s="33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4.25" customHeight="1" x14ac:dyDescent="0.3">
      <c r="A567" s="35">
        <f t="shared" si="4"/>
        <v>4664</v>
      </c>
      <c r="B567" s="60">
        <v>43402</v>
      </c>
      <c r="C567" s="35"/>
      <c r="D567" s="35" t="s">
        <v>532</v>
      </c>
      <c r="E567" s="35" t="s">
        <v>180</v>
      </c>
      <c r="F567" s="35"/>
      <c r="G567" s="35">
        <v>75</v>
      </c>
      <c r="H567" s="37" t="s">
        <v>251</v>
      </c>
      <c r="I567" s="38">
        <v>2862</v>
      </c>
      <c r="J567" s="39"/>
      <c r="K567" s="35" t="s">
        <v>180</v>
      </c>
      <c r="L567" s="21">
        <v>2862</v>
      </c>
      <c r="M567" s="35" t="s">
        <v>180</v>
      </c>
      <c r="N567" s="42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</row>
    <row r="568" spans="1:27" ht="14.25" customHeight="1" x14ac:dyDescent="0.3">
      <c r="A568" s="27">
        <f t="shared" si="4"/>
        <v>4665</v>
      </c>
      <c r="B568" s="64">
        <v>43402</v>
      </c>
      <c r="C568" s="27"/>
      <c r="D568" s="27" t="s">
        <v>464</v>
      </c>
      <c r="E568" s="27"/>
      <c r="F568" s="27"/>
      <c r="G568" s="27"/>
      <c r="H568" s="28"/>
      <c r="I568" s="29">
        <v>4208</v>
      </c>
      <c r="J568" s="30"/>
      <c r="K568" s="47" t="s">
        <v>562</v>
      </c>
      <c r="L568" s="45">
        <v>3045</v>
      </c>
      <c r="M568" s="48" t="s">
        <v>85</v>
      </c>
      <c r="N568" s="33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14.25" customHeight="1" x14ac:dyDescent="0.3">
      <c r="A569" s="35">
        <f t="shared" si="4"/>
        <v>4666</v>
      </c>
      <c r="B569" s="60">
        <v>43402</v>
      </c>
      <c r="C569" s="35"/>
      <c r="D569" s="35" t="s">
        <v>464</v>
      </c>
      <c r="E569" s="35"/>
      <c r="F569" s="35"/>
      <c r="G569" s="35"/>
      <c r="H569" s="37"/>
      <c r="I569" s="38">
        <v>3045</v>
      </c>
      <c r="J569" s="39" t="s">
        <v>85</v>
      </c>
      <c r="K569" s="40"/>
      <c r="L569" s="21">
        <v>4208</v>
      </c>
      <c r="M569" s="41"/>
      <c r="N569" s="42" t="s">
        <v>464</v>
      </c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</row>
    <row r="570" spans="1:27" ht="14.25" customHeight="1" x14ac:dyDescent="0.3">
      <c r="A570" s="27">
        <f t="shared" si="4"/>
        <v>4667</v>
      </c>
      <c r="B570" s="64">
        <v>43402</v>
      </c>
      <c r="C570" s="27"/>
      <c r="D570" s="27" t="s">
        <v>464</v>
      </c>
      <c r="E570" s="27"/>
      <c r="F570" s="27"/>
      <c r="G570" s="27"/>
      <c r="H570" s="28"/>
      <c r="I570" s="29">
        <v>4208</v>
      </c>
      <c r="J570" s="30"/>
      <c r="K570" s="47" t="s">
        <v>562</v>
      </c>
      <c r="L570" s="45">
        <v>3045</v>
      </c>
      <c r="M570" s="48" t="s">
        <v>85</v>
      </c>
      <c r="N570" s="33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14.25" customHeight="1" x14ac:dyDescent="0.3">
      <c r="A571" s="35">
        <f t="shared" si="4"/>
        <v>4668</v>
      </c>
      <c r="B571" s="60">
        <v>43402</v>
      </c>
      <c r="C571" s="35"/>
      <c r="D571" s="35" t="s">
        <v>464</v>
      </c>
      <c r="E571" s="35"/>
      <c r="F571" s="35"/>
      <c r="G571" s="35"/>
      <c r="H571" s="37"/>
      <c r="I571" s="38">
        <v>4208</v>
      </c>
      <c r="J571" s="39"/>
      <c r="K571" s="40" t="s">
        <v>562</v>
      </c>
      <c r="L571" s="21">
        <v>3045</v>
      </c>
      <c r="M571" s="41" t="s">
        <v>85</v>
      </c>
      <c r="N571" s="42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</row>
    <row r="572" spans="1:27" ht="14.25" customHeight="1" x14ac:dyDescent="0.3">
      <c r="A572" s="27">
        <f t="shared" si="4"/>
        <v>4669</v>
      </c>
      <c r="B572" s="64">
        <v>43406</v>
      </c>
      <c r="C572" s="27" t="s">
        <v>563</v>
      </c>
      <c r="D572" s="27"/>
      <c r="E572" s="27"/>
      <c r="F572" s="27"/>
      <c r="G572" s="27">
        <v>6</v>
      </c>
      <c r="H572" s="28" t="s">
        <v>13</v>
      </c>
      <c r="I572" s="29">
        <v>3020</v>
      </c>
      <c r="J572" s="30" t="s">
        <v>382</v>
      </c>
      <c r="K572" s="47"/>
      <c r="L572" s="45">
        <v>4119</v>
      </c>
      <c r="M572" s="48" t="s">
        <v>564</v>
      </c>
      <c r="N572" s="33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14.25" customHeight="1" x14ac:dyDescent="0.3">
      <c r="A573" s="35">
        <f t="shared" si="4"/>
        <v>4670</v>
      </c>
      <c r="B573" s="78">
        <v>43405</v>
      </c>
      <c r="C573" s="35"/>
      <c r="D573" s="35" t="s">
        <v>565</v>
      </c>
      <c r="E573" s="35"/>
      <c r="F573" s="35"/>
      <c r="G573" s="35">
        <v>50</v>
      </c>
      <c r="H573" s="37" t="s">
        <v>379</v>
      </c>
      <c r="I573" s="38">
        <v>2985</v>
      </c>
      <c r="J573" s="39" t="s">
        <v>85</v>
      </c>
      <c r="K573" s="40"/>
      <c r="L573" s="21">
        <v>2985</v>
      </c>
      <c r="M573" s="41" t="s">
        <v>85</v>
      </c>
      <c r="N573" s="42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</row>
    <row r="574" spans="1:27" ht="14.25" customHeight="1" x14ac:dyDescent="0.3">
      <c r="A574" s="27">
        <f t="shared" si="4"/>
        <v>4671</v>
      </c>
      <c r="B574" s="79">
        <v>43405</v>
      </c>
      <c r="C574" s="27"/>
      <c r="D574" s="27" t="s">
        <v>24</v>
      </c>
      <c r="E574" s="27"/>
      <c r="F574" s="27"/>
      <c r="G574" s="27">
        <v>200</v>
      </c>
      <c r="H574" s="28" t="s">
        <v>379</v>
      </c>
      <c r="I574" s="29">
        <v>4270</v>
      </c>
      <c r="J574" s="30"/>
      <c r="K574" s="47" t="s">
        <v>24</v>
      </c>
      <c r="L574" s="45">
        <v>4270</v>
      </c>
      <c r="N574" s="48" t="s">
        <v>24</v>
      </c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14.25" customHeight="1" x14ac:dyDescent="0.3">
      <c r="A575" s="35">
        <f t="shared" si="4"/>
        <v>4672</v>
      </c>
      <c r="B575" s="60">
        <v>43406</v>
      </c>
      <c r="C575" s="35"/>
      <c r="D575" s="57" t="s">
        <v>566</v>
      </c>
      <c r="E575" s="35" t="s">
        <v>219</v>
      </c>
      <c r="F575" s="35"/>
      <c r="G575" s="35">
        <v>30</v>
      </c>
      <c r="H575" s="37" t="s">
        <v>33</v>
      </c>
      <c r="I575" s="38">
        <v>2906</v>
      </c>
      <c r="J575" s="39"/>
      <c r="K575" s="40" t="s">
        <v>567</v>
      </c>
      <c r="L575" s="21">
        <v>4272</v>
      </c>
      <c r="M575" s="41"/>
      <c r="N575" s="42" t="s">
        <v>568</v>
      </c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</row>
    <row r="576" spans="1:27" ht="14.25" customHeight="1" x14ac:dyDescent="0.3">
      <c r="A576" s="27">
        <f t="shared" si="4"/>
        <v>4673</v>
      </c>
      <c r="B576" s="64">
        <v>43406</v>
      </c>
      <c r="C576" s="27"/>
      <c r="D576" s="57" t="s">
        <v>566</v>
      </c>
      <c r="E576" s="27" t="s">
        <v>219</v>
      </c>
      <c r="F576" s="27" t="s">
        <v>95</v>
      </c>
      <c r="G576" s="27">
        <v>60</v>
      </c>
      <c r="H576" s="28" t="s">
        <v>33</v>
      </c>
      <c r="I576" s="29">
        <v>2906</v>
      </c>
      <c r="J576" s="30"/>
      <c r="K576" s="47" t="s">
        <v>567</v>
      </c>
      <c r="L576" s="45">
        <v>4272</v>
      </c>
      <c r="M576" s="48"/>
      <c r="N576" s="33" t="s">
        <v>568</v>
      </c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14.25" customHeight="1" x14ac:dyDescent="0.3">
      <c r="A577" s="35">
        <f t="shared" si="4"/>
        <v>4674</v>
      </c>
      <c r="B577" s="60">
        <v>43410</v>
      </c>
      <c r="C577" s="35"/>
      <c r="D577" s="35" t="s">
        <v>569</v>
      </c>
      <c r="E577" s="35" t="s">
        <v>468</v>
      </c>
      <c r="F577" s="35"/>
      <c r="G577" s="35">
        <v>40</v>
      </c>
      <c r="H577" s="37" t="s">
        <v>114</v>
      </c>
      <c r="I577" s="38">
        <v>4426</v>
      </c>
      <c r="J577" s="39"/>
      <c r="K577" s="40" t="s">
        <v>569</v>
      </c>
      <c r="L577" s="21">
        <v>4112</v>
      </c>
      <c r="M577" s="41"/>
      <c r="N577" s="42" t="s">
        <v>468</v>
      </c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</row>
    <row r="578" spans="1:27" ht="14.25" customHeight="1" x14ac:dyDescent="0.3">
      <c r="A578" s="27">
        <f t="shared" si="4"/>
        <v>4675</v>
      </c>
      <c r="B578" s="64">
        <v>43410</v>
      </c>
      <c r="C578" s="27"/>
      <c r="D578" s="27" t="s">
        <v>570</v>
      </c>
      <c r="E578" s="27"/>
      <c r="F578" s="27"/>
      <c r="G578" s="27">
        <v>100</v>
      </c>
      <c r="H578" s="28" t="s">
        <v>379</v>
      </c>
      <c r="I578" s="29"/>
      <c r="J578" s="30"/>
      <c r="K578" s="47" t="s">
        <v>571</v>
      </c>
      <c r="L578" s="45"/>
      <c r="M578" s="48"/>
      <c r="N578" s="33" t="s">
        <v>571</v>
      </c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4.25" customHeight="1" x14ac:dyDescent="0.3">
      <c r="A579" s="35">
        <f t="shared" si="4"/>
        <v>4676</v>
      </c>
      <c r="B579" s="60">
        <v>43410</v>
      </c>
      <c r="C579" s="35"/>
      <c r="D579" s="35" t="s">
        <v>570</v>
      </c>
      <c r="E579" s="35"/>
      <c r="F579" s="35"/>
      <c r="G579" s="35">
        <v>100</v>
      </c>
      <c r="H579" s="37" t="s">
        <v>379</v>
      </c>
      <c r="I579" s="38"/>
      <c r="J579" s="39"/>
      <c r="K579" s="40" t="s">
        <v>571</v>
      </c>
      <c r="L579" s="21"/>
      <c r="M579" s="41"/>
      <c r="N579" s="40" t="s">
        <v>571</v>
      </c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</row>
    <row r="580" spans="1:27" ht="14.25" customHeight="1" x14ac:dyDescent="0.3">
      <c r="A580" s="25">
        <f t="shared" si="4"/>
        <v>4677</v>
      </c>
      <c r="B580" s="64">
        <v>43411</v>
      </c>
      <c r="C580" s="27"/>
      <c r="D580" s="27" t="s">
        <v>572</v>
      </c>
      <c r="E580" s="27" t="s">
        <v>24</v>
      </c>
      <c r="F580" s="27"/>
      <c r="G580" s="27">
        <v>20</v>
      </c>
      <c r="H580" s="28" t="s">
        <v>379</v>
      </c>
      <c r="I580" s="29">
        <v>4276</v>
      </c>
      <c r="J580" s="30"/>
      <c r="K580" s="47" t="s">
        <v>572</v>
      </c>
      <c r="L580" s="45">
        <v>4270</v>
      </c>
      <c r="M580" s="48"/>
      <c r="N580" s="33" t="s">
        <v>24</v>
      </c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</row>
    <row r="581" spans="1:27" ht="14.25" customHeight="1" x14ac:dyDescent="0.3">
      <c r="A581" s="35">
        <f t="shared" si="4"/>
        <v>4678</v>
      </c>
      <c r="B581" s="60">
        <v>43411</v>
      </c>
      <c r="C581" s="35"/>
      <c r="D581" s="35" t="s">
        <v>573</v>
      </c>
      <c r="E581" s="35"/>
      <c r="F581" s="35"/>
      <c r="G581" s="35">
        <v>8</v>
      </c>
      <c r="H581" s="37" t="s">
        <v>33</v>
      </c>
      <c r="I581" s="38">
        <v>4473</v>
      </c>
      <c r="J581" s="39" t="s">
        <v>85</v>
      </c>
      <c r="K581" s="40"/>
      <c r="L581" s="21">
        <v>4473</v>
      </c>
      <c r="M581" s="41" t="s">
        <v>85</v>
      </c>
      <c r="N581" s="42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</row>
    <row r="582" spans="1:27" ht="14.25" customHeight="1" x14ac:dyDescent="0.3">
      <c r="A582" s="27">
        <f t="shared" si="4"/>
        <v>4679</v>
      </c>
      <c r="B582" s="64">
        <v>43413</v>
      </c>
      <c r="C582" s="27"/>
      <c r="D582" s="27" t="s">
        <v>574</v>
      </c>
      <c r="E582" s="27" t="s">
        <v>106</v>
      </c>
      <c r="F582" s="27"/>
      <c r="G582" s="27">
        <v>32</v>
      </c>
      <c r="H582" s="28" t="s">
        <v>33</v>
      </c>
      <c r="I582" s="29">
        <v>4151</v>
      </c>
      <c r="J582" s="30"/>
      <c r="K582" s="47" t="s">
        <v>106</v>
      </c>
      <c r="L582" s="45">
        <v>4483</v>
      </c>
      <c r="M582" s="48"/>
      <c r="N582" s="33" t="s">
        <v>84</v>
      </c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14.25" customHeight="1" x14ac:dyDescent="0.3">
      <c r="A583" s="35">
        <f t="shared" si="4"/>
        <v>4680</v>
      </c>
      <c r="B583" s="60">
        <v>43412</v>
      </c>
      <c r="C583" s="35"/>
      <c r="D583" s="35" t="s">
        <v>575</v>
      </c>
      <c r="E583" s="35"/>
      <c r="F583" s="35"/>
      <c r="G583" s="35">
        <v>25</v>
      </c>
      <c r="H583" s="37" t="s">
        <v>379</v>
      </c>
      <c r="I583" s="38"/>
      <c r="J583" s="39"/>
      <c r="K583" s="40"/>
      <c r="L583" s="21"/>
      <c r="M583" s="41"/>
      <c r="N583" s="42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</row>
    <row r="584" spans="1:27" ht="14.25" customHeight="1" x14ac:dyDescent="0.3">
      <c r="A584" s="27">
        <f t="shared" si="4"/>
        <v>4681</v>
      </c>
      <c r="B584" s="27" t="s">
        <v>576</v>
      </c>
      <c r="C584" s="27"/>
      <c r="D584" s="27" t="s">
        <v>577</v>
      </c>
      <c r="E584" s="27"/>
      <c r="F584" s="27"/>
      <c r="G584" s="27">
        <v>2</v>
      </c>
      <c r="H584" s="28" t="s">
        <v>50</v>
      </c>
      <c r="I584" s="29">
        <v>4235</v>
      </c>
      <c r="J584" s="30" t="s">
        <v>12</v>
      </c>
      <c r="K584" s="47"/>
      <c r="L584" s="45">
        <v>4533</v>
      </c>
      <c r="M584" s="48"/>
      <c r="N584" s="33" t="s">
        <v>578</v>
      </c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14.25" customHeight="1" x14ac:dyDescent="0.3">
      <c r="A585" s="25">
        <f t="shared" si="4"/>
        <v>4682</v>
      </c>
      <c r="B585" s="35" t="s">
        <v>579</v>
      </c>
      <c r="C585" s="35"/>
      <c r="D585" s="35" t="s">
        <v>580</v>
      </c>
      <c r="E585" s="35"/>
      <c r="F585" s="35"/>
      <c r="G585" s="35">
        <v>15</v>
      </c>
      <c r="H585" s="37" t="s">
        <v>50</v>
      </c>
      <c r="I585" s="38">
        <v>4235</v>
      </c>
      <c r="J585" s="39" t="s">
        <v>12</v>
      </c>
      <c r="K585" s="40"/>
      <c r="L585" s="21">
        <v>4235</v>
      </c>
      <c r="M585" s="39" t="s">
        <v>12</v>
      </c>
      <c r="N585" s="42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</row>
    <row r="586" spans="1:27" ht="14.25" customHeight="1" x14ac:dyDescent="0.3">
      <c r="A586" s="25">
        <f t="shared" si="4"/>
        <v>4683</v>
      </c>
      <c r="B586" s="64">
        <v>43422</v>
      </c>
      <c r="C586" s="27"/>
      <c r="D586" s="27" t="s">
        <v>572</v>
      </c>
      <c r="E586" s="27" t="s">
        <v>24</v>
      </c>
      <c r="F586" s="27"/>
      <c r="G586" s="27">
        <v>25</v>
      </c>
      <c r="H586" s="28" t="s">
        <v>379</v>
      </c>
      <c r="I586" s="29">
        <v>4276</v>
      </c>
      <c r="J586" s="30"/>
      <c r="K586" s="47" t="s">
        <v>572</v>
      </c>
      <c r="L586" s="45">
        <v>4270</v>
      </c>
      <c r="M586" s="48"/>
      <c r="N586" s="33" t="s">
        <v>24</v>
      </c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14.25" customHeight="1" x14ac:dyDescent="0.3">
      <c r="A587" s="35">
        <f t="shared" si="4"/>
        <v>4684</v>
      </c>
      <c r="B587" s="60">
        <v>43426</v>
      </c>
      <c r="C587" s="35" t="s">
        <v>549</v>
      </c>
      <c r="D587" s="35" t="s">
        <v>373</v>
      </c>
      <c r="E587" s="35"/>
      <c r="F587" s="35"/>
      <c r="G587" s="35">
        <v>2</v>
      </c>
      <c r="H587" s="37" t="s">
        <v>13</v>
      </c>
      <c r="I587" s="38"/>
      <c r="J587" s="39"/>
      <c r="K587" s="40"/>
      <c r="L587" s="21"/>
      <c r="M587" s="41"/>
      <c r="N587" s="42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</row>
    <row r="588" spans="1:27" ht="14.25" customHeight="1" x14ac:dyDescent="0.3">
      <c r="A588" s="27">
        <f t="shared" si="4"/>
        <v>4685</v>
      </c>
      <c r="B588" s="64">
        <v>43431</v>
      </c>
      <c r="C588" s="27"/>
      <c r="D588" s="27" t="s">
        <v>577</v>
      </c>
      <c r="E588" s="27"/>
      <c r="F588" s="27"/>
      <c r="G588" s="27">
        <v>2</v>
      </c>
      <c r="H588" s="28" t="s">
        <v>50</v>
      </c>
      <c r="I588" s="29">
        <v>4235</v>
      </c>
      <c r="J588" s="30" t="s">
        <v>12</v>
      </c>
      <c r="K588" s="47"/>
      <c r="L588" s="45">
        <v>4533</v>
      </c>
      <c r="M588" s="48"/>
      <c r="N588" s="33" t="s">
        <v>578</v>
      </c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14.25" customHeight="1" x14ac:dyDescent="0.3">
      <c r="A589" s="35">
        <f t="shared" si="4"/>
        <v>4686</v>
      </c>
      <c r="B589" s="60">
        <v>43430</v>
      </c>
      <c r="C589" s="35"/>
      <c r="D589" s="35" t="s">
        <v>70</v>
      </c>
      <c r="E589" s="35"/>
      <c r="F589" s="35"/>
      <c r="G589" s="35">
        <v>45</v>
      </c>
      <c r="H589" s="37" t="s">
        <v>50</v>
      </c>
      <c r="I589" s="38">
        <v>4235</v>
      </c>
      <c r="J589" s="39" t="s">
        <v>12</v>
      </c>
      <c r="K589" s="40"/>
      <c r="L589" s="21">
        <v>3100</v>
      </c>
      <c r="M589" s="41"/>
      <c r="N589" s="42" t="s">
        <v>70</v>
      </c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</row>
    <row r="590" spans="1:27" ht="14.25" customHeight="1" x14ac:dyDescent="0.3">
      <c r="A590" s="27">
        <f t="shared" si="4"/>
        <v>4687</v>
      </c>
      <c r="B590" s="64">
        <v>43432</v>
      </c>
      <c r="C590" s="27" t="s">
        <v>581</v>
      </c>
      <c r="D590" s="27" t="s">
        <v>37</v>
      </c>
      <c r="E590" s="27"/>
      <c r="F590" s="27"/>
      <c r="G590" s="27">
        <v>10</v>
      </c>
      <c r="H590" s="28" t="s">
        <v>140</v>
      </c>
      <c r="I590" s="29">
        <v>2476</v>
      </c>
      <c r="J590" s="30" t="s">
        <v>581</v>
      </c>
      <c r="K590" s="47" t="s">
        <v>37</v>
      </c>
      <c r="L590" s="45">
        <v>2995</v>
      </c>
      <c r="M590" s="48" t="s">
        <v>85</v>
      </c>
      <c r="N590" s="33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14.25" customHeight="1" x14ac:dyDescent="0.3">
      <c r="A591" s="35">
        <f t="shared" si="4"/>
        <v>4688</v>
      </c>
      <c r="B591" s="60">
        <v>43432</v>
      </c>
      <c r="C591" s="35" t="s">
        <v>158</v>
      </c>
      <c r="D591" s="35"/>
      <c r="E591" s="35"/>
      <c r="F591" s="35"/>
      <c r="G591" s="35">
        <v>60</v>
      </c>
      <c r="H591" s="37" t="s">
        <v>140</v>
      </c>
      <c r="I591" s="38">
        <v>2995</v>
      </c>
      <c r="J591" s="39" t="s">
        <v>12</v>
      </c>
      <c r="K591" s="40"/>
      <c r="L591" s="21">
        <v>4137</v>
      </c>
      <c r="M591" s="41" t="s">
        <v>158</v>
      </c>
      <c r="N591" s="42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</row>
    <row r="592" spans="1:27" ht="14.25" customHeight="1" x14ac:dyDescent="0.3">
      <c r="A592" s="27">
        <f t="shared" si="4"/>
        <v>4689</v>
      </c>
      <c r="B592" s="64">
        <v>43432</v>
      </c>
      <c r="C592" s="27"/>
      <c r="D592" s="27" t="s">
        <v>572</v>
      </c>
      <c r="E592" s="27"/>
      <c r="F592" s="27"/>
      <c r="G592" s="27">
        <v>20</v>
      </c>
      <c r="H592" s="28" t="s">
        <v>140</v>
      </c>
      <c r="I592" s="29">
        <v>4582</v>
      </c>
      <c r="J592" s="30"/>
      <c r="K592" s="47" t="s">
        <v>572</v>
      </c>
      <c r="L592" s="45">
        <v>2995</v>
      </c>
      <c r="M592" s="48" t="s">
        <v>85</v>
      </c>
      <c r="N592" s="33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14.25" customHeight="1" x14ac:dyDescent="0.3">
      <c r="A593" s="35">
        <f t="shared" si="4"/>
        <v>4690</v>
      </c>
      <c r="B593" s="60">
        <v>43432</v>
      </c>
      <c r="C593" s="35" t="s">
        <v>581</v>
      </c>
      <c r="D593" s="35" t="s">
        <v>37</v>
      </c>
      <c r="E593" s="35"/>
      <c r="F593" s="35"/>
      <c r="G593" s="35">
        <v>30</v>
      </c>
      <c r="H593" s="37" t="s">
        <v>140</v>
      </c>
      <c r="I593" s="38">
        <v>2476</v>
      </c>
      <c r="J593" s="39" t="s">
        <v>581</v>
      </c>
      <c r="K593" s="40" t="s">
        <v>37</v>
      </c>
      <c r="L593" s="21">
        <v>2476</v>
      </c>
      <c r="M593" s="41" t="s">
        <v>581</v>
      </c>
      <c r="N593" s="42" t="s">
        <v>37</v>
      </c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</row>
    <row r="594" spans="1:27" ht="14.25" customHeight="1" x14ac:dyDescent="0.3">
      <c r="A594" s="27">
        <f t="shared" si="4"/>
        <v>4691</v>
      </c>
      <c r="B594" s="64">
        <v>43432</v>
      </c>
      <c r="C594" s="27"/>
      <c r="E594" s="27" t="s">
        <v>29</v>
      </c>
      <c r="F594" s="27"/>
      <c r="G594" s="27">
        <v>5</v>
      </c>
      <c r="H594" s="28" t="s">
        <v>33</v>
      </c>
      <c r="I594" s="29">
        <v>4503</v>
      </c>
      <c r="J594" s="30"/>
      <c r="K594" s="27" t="s">
        <v>582</v>
      </c>
      <c r="L594" s="45">
        <v>4197</v>
      </c>
      <c r="M594" s="48" t="s">
        <v>12</v>
      </c>
      <c r="N594" s="33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14.25" customHeight="1" x14ac:dyDescent="0.3">
      <c r="A595" s="35">
        <f t="shared" si="4"/>
        <v>4692</v>
      </c>
      <c r="B595" s="60">
        <v>43437</v>
      </c>
      <c r="C595" s="35"/>
      <c r="D595" s="35" t="s">
        <v>583</v>
      </c>
      <c r="E595" s="35"/>
      <c r="F595" s="35"/>
      <c r="G595" s="35">
        <v>60</v>
      </c>
      <c r="H595" s="37" t="s">
        <v>39</v>
      </c>
      <c r="I595" s="38">
        <v>2458</v>
      </c>
      <c r="J595" s="39"/>
      <c r="K595" s="40" t="s">
        <v>583</v>
      </c>
      <c r="L595" s="38">
        <v>2458</v>
      </c>
      <c r="M595" s="39"/>
      <c r="N595" s="40" t="s">
        <v>583</v>
      </c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</row>
    <row r="596" spans="1:27" ht="14.25" customHeight="1" x14ac:dyDescent="0.3">
      <c r="A596" s="27">
        <f t="shared" si="4"/>
        <v>4693</v>
      </c>
      <c r="B596" s="64">
        <v>43437</v>
      </c>
      <c r="C596" s="27"/>
      <c r="D596" s="27" t="s">
        <v>584</v>
      </c>
      <c r="E596" s="27" t="s">
        <v>585</v>
      </c>
      <c r="F596" s="27" t="s">
        <v>586</v>
      </c>
      <c r="G596" s="27">
        <v>5</v>
      </c>
      <c r="H596" s="28" t="s">
        <v>108</v>
      </c>
      <c r="I596" s="29">
        <v>4535</v>
      </c>
      <c r="J596" s="30"/>
      <c r="K596" s="47" t="s">
        <v>587</v>
      </c>
      <c r="L596" s="45">
        <v>4195</v>
      </c>
      <c r="M596" s="48" t="s">
        <v>12</v>
      </c>
      <c r="N596" s="33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14.25" customHeight="1" x14ac:dyDescent="0.3">
      <c r="A597" s="35">
        <f t="shared" si="4"/>
        <v>4694</v>
      </c>
      <c r="B597" s="78">
        <v>43439</v>
      </c>
      <c r="C597" s="35" t="s">
        <v>12</v>
      </c>
      <c r="D597" s="35" t="s">
        <v>532</v>
      </c>
      <c r="E597" s="35"/>
      <c r="F597" s="35"/>
      <c r="G597" s="35">
        <v>100</v>
      </c>
      <c r="H597" s="37" t="s">
        <v>251</v>
      </c>
      <c r="I597" s="38">
        <v>2513</v>
      </c>
      <c r="J597" s="39" t="s">
        <v>12</v>
      </c>
      <c r="K597" s="40"/>
      <c r="L597" s="38">
        <v>2513</v>
      </c>
      <c r="M597" s="39" t="s">
        <v>12</v>
      </c>
      <c r="N597" s="42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</row>
    <row r="598" spans="1:27" ht="14.25" customHeight="1" x14ac:dyDescent="0.3">
      <c r="A598" s="27">
        <f t="shared" si="4"/>
        <v>4695</v>
      </c>
      <c r="B598" s="79">
        <v>43439</v>
      </c>
      <c r="C598" s="27" t="s">
        <v>12</v>
      </c>
      <c r="D598" s="27" t="s">
        <v>588</v>
      </c>
      <c r="E598" s="27"/>
      <c r="F598" s="27"/>
      <c r="G598" s="27">
        <v>100</v>
      </c>
      <c r="H598" s="28" t="s">
        <v>251</v>
      </c>
      <c r="I598" s="29">
        <v>2513</v>
      </c>
      <c r="J598" s="30" t="s">
        <v>12</v>
      </c>
      <c r="K598" s="47"/>
      <c r="L598" s="29">
        <v>2513</v>
      </c>
      <c r="M598" s="30" t="s">
        <v>12</v>
      </c>
      <c r="N598" s="33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14.25" customHeight="1" x14ac:dyDescent="0.3">
      <c r="A599" s="25">
        <f t="shared" si="4"/>
        <v>4696</v>
      </c>
      <c r="B599" s="78">
        <v>43439</v>
      </c>
      <c r="C599" s="35"/>
      <c r="D599" s="35" t="s">
        <v>287</v>
      </c>
      <c r="E599" s="35" t="s">
        <v>24</v>
      </c>
      <c r="F599" s="35"/>
      <c r="G599" s="35">
        <v>50</v>
      </c>
      <c r="H599" s="37" t="s">
        <v>379</v>
      </c>
      <c r="I599" s="38">
        <v>4270</v>
      </c>
      <c r="J599" s="39"/>
      <c r="K599" s="40" t="s">
        <v>589</v>
      </c>
      <c r="L599" s="21" t="s">
        <v>590</v>
      </c>
      <c r="M599" s="41"/>
      <c r="N599" s="42" t="s">
        <v>47</v>
      </c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</row>
    <row r="600" spans="1:27" ht="14.25" customHeight="1" x14ac:dyDescent="0.3">
      <c r="A600" s="25">
        <f t="shared" si="4"/>
        <v>4697</v>
      </c>
      <c r="B600" s="79">
        <v>43440</v>
      </c>
      <c r="C600" s="27" t="s">
        <v>591</v>
      </c>
      <c r="D600" s="27" t="s">
        <v>468</v>
      </c>
      <c r="E600" s="27"/>
      <c r="F600" s="27"/>
      <c r="G600" s="27">
        <v>200</v>
      </c>
      <c r="H600" s="28" t="s">
        <v>114</v>
      </c>
      <c r="I600" s="29">
        <v>4253</v>
      </c>
      <c r="J600" s="30" t="s">
        <v>85</v>
      </c>
      <c r="K600" s="47"/>
      <c r="L600" s="45">
        <v>4599</v>
      </c>
      <c r="M600" s="48" t="s">
        <v>592</v>
      </c>
      <c r="N600" s="33" t="s">
        <v>468</v>
      </c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14.25" customHeight="1" x14ac:dyDescent="0.3">
      <c r="A601" s="35">
        <f t="shared" si="4"/>
        <v>4698</v>
      </c>
      <c r="B601" s="78">
        <v>43440</v>
      </c>
      <c r="C601" s="35" t="s">
        <v>593</v>
      </c>
      <c r="D601" s="35" t="s">
        <v>468</v>
      </c>
      <c r="E601" s="35"/>
      <c r="F601" s="35"/>
      <c r="G601" s="35">
        <v>50</v>
      </c>
      <c r="H601" s="37" t="s">
        <v>114</v>
      </c>
      <c r="I601" s="38">
        <v>4253</v>
      </c>
      <c r="J601" s="39" t="s">
        <v>85</v>
      </c>
      <c r="K601" s="40"/>
      <c r="L601" s="21">
        <v>4599</v>
      </c>
      <c r="M601" s="41" t="s">
        <v>594</v>
      </c>
      <c r="N601" s="42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</row>
    <row r="602" spans="1:27" ht="14.25" customHeight="1" x14ac:dyDescent="0.3">
      <c r="A602" s="27">
        <f t="shared" si="4"/>
        <v>4699</v>
      </c>
      <c r="B602" s="64">
        <v>43441</v>
      </c>
      <c r="C602" s="27" t="s">
        <v>595</v>
      </c>
      <c r="D602" s="27" t="s">
        <v>468</v>
      </c>
      <c r="E602" s="27"/>
      <c r="F602" s="27"/>
      <c r="G602" s="27">
        <v>60</v>
      </c>
      <c r="H602" s="28" t="s">
        <v>140</v>
      </c>
      <c r="I602" s="29">
        <v>4559</v>
      </c>
      <c r="J602" s="30" t="s">
        <v>446</v>
      </c>
      <c r="K602" s="47" t="s">
        <v>596</v>
      </c>
      <c r="L602" s="45">
        <v>4132</v>
      </c>
      <c r="M602" s="48" t="s">
        <v>85</v>
      </c>
      <c r="N602" s="33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14.25" customHeight="1" x14ac:dyDescent="0.3">
      <c r="A603" s="35">
        <f t="shared" si="4"/>
        <v>4700</v>
      </c>
      <c r="B603" s="78">
        <v>43441</v>
      </c>
      <c r="C603" s="35" t="s">
        <v>595</v>
      </c>
      <c r="D603" s="35"/>
      <c r="E603" s="35" t="s">
        <v>37</v>
      </c>
      <c r="F603" s="35"/>
      <c r="G603" s="35">
        <v>150</v>
      </c>
      <c r="H603" s="37" t="s">
        <v>140</v>
      </c>
      <c r="I603" s="38">
        <v>4132</v>
      </c>
      <c r="J603" s="39" t="s">
        <v>85</v>
      </c>
      <c r="K603" s="40"/>
      <c r="L603" s="21">
        <v>4542</v>
      </c>
      <c r="M603" s="41" t="s">
        <v>446</v>
      </c>
      <c r="N603" s="42" t="s">
        <v>162</v>
      </c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</row>
    <row r="604" spans="1:27" ht="14.25" customHeight="1" x14ac:dyDescent="0.3">
      <c r="A604" s="27">
        <f t="shared" si="4"/>
        <v>4701</v>
      </c>
      <c r="B604" s="64">
        <v>43445</v>
      </c>
      <c r="D604" s="27" t="s">
        <v>597</v>
      </c>
      <c r="E604" s="27"/>
      <c r="F604" s="27"/>
      <c r="G604" s="27">
        <v>13</v>
      </c>
      <c r="H604" s="28" t="s">
        <v>33</v>
      </c>
      <c r="I604" s="29">
        <v>4197</v>
      </c>
      <c r="J604" s="30" t="s">
        <v>85</v>
      </c>
      <c r="K604" s="47"/>
      <c r="L604" s="45">
        <v>4197</v>
      </c>
      <c r="M604" s="48" t="s">
        <v>85</v>
      </c>
      <c r="N604" s="33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14.25" customHeight="1" x14ac:dyDescent="0.3">
      <c r="A605" s="35">
        <f t="shared" si="4"/>
        <v>4702</v>
      </c>
      <c r="B605" s="60">
        <v>43446</v>
      </c>
      <c r="C605" s="35"/>
      <c r="D605" s="35" t="s">
        <v>94</v>
      </c>
      <c r="E605" s="35" t="s">
        <v>219</v>
      </c>
      <c r="F605" s="35"/>
      <c r="G605" s="35">
        <v>80</v>
      </c>
      <c r="H605" s="37" t="s">
        <v>33</v>
      </c>
      <c r="I605" s="38">
        <v>4272</v>
      </c>
      <c r="J605" s="35"/>
      <c r="K605" s="35" t="s">
        <v>295</v>
      </c>
      <c r="L605" s="21">
        <v>4272</v>
      </c>
      <c r="M605" s="41"/>
      <c r="N605" s="35" t="s">
        <v>295</v>
      </c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</row>
    <row r="606" spans="1:27" ht="14.25" customHeight="1" x14ac:dyDescent="0.3">
      <c r="A606" s="27">
        <f t="shared" si="4"/>
        <v>4703</v>
      </c>
      <c r="B606" s="64">
        <v>43447</v>
      </c>
      <c r="C606" s="27"/>
      <c r="D606" s="30" t="s">
        <v>598</v>
      </c>
      <c r="E606" s="30" t="s">
        <v>297</v>
      </c>
      <c r="G606" s="27"/>
      <c r="H606" s="28" t="s">
        <v>33</v>
      </c>
      <c r="I606" s="29">
        <v>4629</v>
      </c>
      <c r="J606" s="30"/>
      <c r="K606" s="47" t="s">
        <v>297</v>
      </c>
      <c r="L606" s="45">
        <v>4629</v>
      </c>
      <c r="M606" s="48"/>
      <c r="N606" s="33" t="s">
        <v>297</v>
      </c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14.25" customHeight="1" x14ac:dyDescent="0.3">
      <c r="A607" s="35">
        <f t="shared" si="4"/>
        <v>4704</v>
      </c>
      <c r="B607" s="60">
        <v>43447</v>
      </c>
      <c r="C607" s="35"/>
      <c r="D607" s="39" t="s">
        <v>598</v>
      </c>
      <c r="E607" s="35"/>
      <c r="F607" s="35"/>
      <c r="G607" s="35"/>
      <c r="H607" s="37" t="s">
        <v>33</v>
      </c>
      <c r="I607" s="38">
        <v>4629</v>
      </c>
      <c r="J607" s="39"/>
      <c r="K607" s="40" t="s">
        <v>297</v>
      </c>
      <c r="L607" s="38">
        <v>4629</v>
      </c>
      <c r="M607" s="39"/>
      <c r="N607" s="40" t="s">
        <v>297</v>
      </c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</row>
    <row r="608" spans="1:27" ht="14.25" customHeight="1" x14ac:dyDescent="0.3">
      <c r="A608" s="27">
        <f t="shared" si="4"/>
        <v>4705</v>
      </c>
      <c r="B608" s="64">
        <v>43446</v>
      </c>
      <c r="C608" s="27"/>
      <c r="D608" s="27" t="s">
        <v>599</v>
      </c>
      <c r="E608" s="27"/>
      <c r="F608" s="27"/>
      <c r="G608" s="27">
        <v>4</v>
      </c>
      <c r="H608" s="28" t="s">
        <v>13</v>
      </c>
      <c r="I608" s="29">
        <v>4615</v>
      </c>
      <c r="J608" s="30"/>
      <c r="K608" s="47" t="s">
        <v>372</v>
      </c>
      <c r="L608" s="45"/>
      <c r="M608" s="48"/>
      <c r="N608" s="33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14.25" customHeight="1" x14ac:dyDescent="0.3">
      <c r="A609" s="35">
        <f t="shared" si="4"/>
        <v>4706</v>
      </c>
      <c r="B609" s="60">
        <v>43446</v>
      </c>
      <c r="C609" s="35" t="s">
        <v>600</v>
      </c>
      <c r="D609" s="35" t="s">
        <v>599</v>
      </c>
      <c r="E609" s="35"/>
      <c r="F609" s="35"/>
      <c r="G609" s="35">
        <v>5</v>
      </c>
      <c r="H609" s="37" t="s">
        <v>13</v>
      </c>
      <c r="I609" s="38"/>
      <c r="J609" s="39"/>
      <c r="K609" s="40"/>
      <c r="L609" s="21"/>
      <c r="M609" s="41"/>
      <c r="N609" s="42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</row>
    <row r="610" spans="1:27" ht="14.25" customHeight="1" x14ac:dyDescent="0.3">
      <c r="A610" s="27">
        <f t="shared" si="4"/>
        <v>4707</v>
      </c>
      <c r="B610" s="64">
        <v>43446</v>
      </c>
      <c r="C610" s="27"/>
      <c r="D610" s="27" t="s">
        <v>572</v>
      </c>
      <c r="E610" s="27"/>
      <c r="F610" s="27"/>
      <c r="G610" s="27">
        <v>50</v>
      </c>
      <c r="H610" s="28" t="s">
        <v>140</v>
      </c>
      <c r="I610" s="29">
        <v>4582</v>
      </c>
      <c r="J610" s="30"/>
      <c r="K610" s="47" t="s">
        <v>572</v>
      </c>
      <c r="L610" s="45">
        <v>4557</v>
      </c>
      <c r="M610" s="48"/>
      <c r="N610" s="33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14.25" customHeight="1" x14ac:dyDescent="0.3">
      <c r="A611" s="35">
        <f t="shared" si="4"/>
        <v>4708</v>
      </c>
      <c r="B611" s="60">
        <v>43447</v>
      </c>
      <c r="C611" s="35"/>
      <c r="D611" s="35" t="s">
        <v>601</v>
      </c>
      <c r="E611" s="35"/>
      <c r="F611" s="35"/>
      <c r="G611" s="35">
        <v>45</v>
      </c>
      <c r="H611" s="37" t="s">
        <v>50</v>
      </c>
      <c r="I611" s="38">
        <v>4235</v>
      </c>
      <c r="J611" s="39" t="s">
        <v>12</v>
      </c>
      <c r="K611" s="40"/>
      <c r="L611" s="21">
        <v>4235</v>
      </c>
      <c r="M611" s="41" t="s">
        <v>12</v>
      </c>
      <c r="N611" s="42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</row>
    <row r="612" spans="1:27" ht="14.25" customHeight="1" x14ac:dyDescent="0.3">
      <c r="A612" s="27">
        <f t="shared" si="4"/>
        <v>4709</v>
      </c>
      <c r="B612" s="64">
        <v>43452</v>
      </c>
      <c r="C612" s="27"/>
      <c r="D612" s="27" t="s">
        <v>602</v>
      </c>
      <c r="E612" s="27"/>
      <c r="F612" s="27"/>
      <c r="G612" s="27">
        <v>100</v>
      </c>
      <c r="H612" s="28" t="s">
        <v>50</v>
      </c>
      <c r="I612" s="29">
        <v>4472</v>
      </c>
      <c r="J612" s="30" t="s">
        <v>12</v>
      </c>
      <c r="K612" s="47"/>
      <c r="L612" s="45">
        <v>4472</v>
      </c>
      <c r="M612" s="48" t="s">
        <v>12</v>
      </c>
      <c r="N612" s="33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14.25" customHeight="1" x14ac:dyDescent="0.3">
      <c r="A613" s="35">
        <f t="shared" si="4"/>
        <v>4710</v>
      </c>
      <c r="B613" s="60">
        <v>43452</v>
      </c>
      <c r="C613" s="35"/>
      <c r="D613" s="35" t="s">
        <v>603</v>
      </c>
      <c r="E613" s="35"/>
      <c r="F613" s="35"/>
      <c r="G613" s="35">
        <v>50</v>
      </c>
      <c r="H613" s="37" t="s">
        <v>50</v>
      </c>
      <c r="I613" s="38">
        <v>4472</v>
      </c>
      <c r="J613" s="39" t="s">
        <v>12</v>
      </c>
      <c r="K613" s="40"/>
      <c r="L613" s="21">
        <v>4472</v>
      </c>
      <c r="M613" s="41" t="s">
        <v>12</v>
      </c>
      <c r="N613" s="42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</row>
    <row r="614" spans="1:27" ht="14.25" customHeight="1" x14ac:dyDescent="0.3">
      <c r="A614" s="27">
        <f t="shared" si="4"/>
        <v>4711</v>
      </c>
      <c r="B614" s="64">
        <v>43453</v>
      </c>
      <c r="C614" s="27" t="s">
        <v>604</v>
      </c>
      <c r="D614" s="27" t="s">
        <v>605</v>
      </c>
      <c r="E614" s="27"/>
      <c r="F614" s="27"/>
      <c r="G614" s="27">
        <v>50</v>
      </c>
      <c r="H614" s="28" t="s">
        <v>50</v>
      </c>
      <c r="I614" s="29">
        <v>4508</v>
      </c>
      <c r="J614" s="30" t="s">
        <v>606</v>
      </c>
      <c r="K614" s="47"/>
      <c r="L614" s="45">
        <v>3100</v>
      </c>
      <c r="M614" s="48"/>
      <c r="N614" s="33" t="s">
        <v>70</v>
      </c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14.25" customHeight="1" x14ac:dyDescent="0.3">
      <c r="A615" s="35">
        <f t="shared" si="4"/>
        <v>4712</v>
      </c>
      <c r="B615" s="60">
        <v>43448</v>
      </c>
      <c r="C615" s="35"/>
      <c r="D615" s="35" t="s">
        <v>607</v>
      </c>
      <c r="E615" s="35"/>
      <c r="F615" s="35"/>
      <c r="G615" s="35">
        <v>50</v>
      </c>
      <c r="H615" s="37" t="s">
        <v>33</v>
      </c>
      <c r="I615" s="38">
        <v>4426</v>
      </c>
      <c r="J615" s="39"/>
      <c r="K615" s="40" t="s">
        <v>89</v>
      </c>
      <c r="L615" s="21">
        <v>2841</v>
      </c>
      <c r="M615" s="41"/>
      <c r="N615" s="42" t="s">
        <v>608</v>
      </c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</row>
    <row r="616" spans="1:27" ht="14.25" customHeight="1" x14ac:dyDescent="0.3">
      <c r="A616" s="27">
        <f t="shared" si="4"/>
        <v>4713</v>
      </c>
      <c r="B616" s="64">
        <v>43448</v>
      </c>
      <c r="C616" s="27"/>
      <c r="D616" s="27" t="s">
        <v>607</v>
      </c>
      <c r="E616" s="27" t="s">
        <v>84</v>
      </c>
      <c r="F616" s="27"/>
      <c r="G616" s="27">
        <v>50</v>
      </c>
      <c r="H616" s="28" t="s">
        <v>33</v>
      </c>
      <c r="I616" s="29">
        <v>4426</v>
      </c>
      <c r="J616" s="30"/>
      <c r="K616" s="47" t="s">
        <v>89</v>
      </c>
      <c r="L616" s="45">
        <v>2841</v>
      </c>
      <c r="M616" s="48"/>
      <c r="N616" s="33" t="s">
        <v>608</v>
      </c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14.25" customHeight="1" x14ac:dyDescent="0.3">
      <c r="A617" s="35">
        <f t="shared" si="4"/>
        <v>4714</v>
      </c>
      <c r="B617" s="60">
        <v>43452</v>
      </c>
      <c r="C617" s="35"/>
      <c r="D617" s="35" t="s">
        <v>161</v>
      </c>
      <c r="E617" s="35"/>
      <c r="F617" s="35"/>
      <c r="G617" s="35">
        <v>50</v>
      </c>
      <c r="H617" s="37" t="s">
        <v>108</v>
      </c>
      <c r="I617" s="38">
        <v>2892</v>
      </c>
      <c r="J617" s="39" t="s">
        <v>12</v>
      </c>
      <c r="K617" s="40"/>
      <c r="L617" s="21">
        <v>2444</v>
      </c>
      <c r="M617" s="41"/>
      <c r="N617" s="42" t="s">
        <v>161</v>
      </c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</row>
    <row r="618" spans="1:27" ht="14.25" customHeight="1" x14ac:dyDescent="0.3">
      <c r="A618" s="27">
        <f t="shared" si="4"/>
        <v>4715</v>
      </c>
      <c r="B618" s="64">
        <v>43453</v>
      </c>
      <c r="C618" s="27" t="s">
        <v>609</v>
      </c>
      <c r="D618" s="27"/>
      <c r="E618" s="27"/>
      <c r="F618" s="27"/>
      <c r="G618" s="27">
        <v>50</v>
      </c>
      <c r="H618" s="28" t="s">
        <v>114</v>
      </c>
      <c r="I618" s="29">
        <v>4096</v>
      </c>
      <c r="J618" s="30" t="s">
        <v>610</v>
      </c>
      <c r="K618" s="47"/>
      <c r="L618" s="45">
        <v>4096</v>
      </c>
      <c r="M618" s="48" t="s">
        <v>611</v>
      </c>
      <c r="N618" s="33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14.25" customHeight="1" x14ac:dyDescent="0.3">
      <c r="A619" s="35">
        <f t="shared" si="4"/>
        <v>4716</v>
      </c>
      <c r="B619" s="60">
        <v>43454</v>
      </c>
      <c r="C619" s="35" t="s">
        <v>612</v>
      </c>
      <c r="D619" s="35" t="s">
        <v>177</v>
      </c>
      <c r="E619" s="35"/>
      <c r="F619" s="35"/>
      <c r="G619" s="35">
        <v>59</v>
      </c>
      <c r="H619" s="37" t="s">
        <v>140</v>
      </c>
      <c r="I619" s="38">
        <v>4559</v>
      </c>
      <c r="J619" s="39" t="s">
        <v>613</v>
      </c>
      <c r="K619" s="40" t="s">
        <v>177</v>
      </c>
      <c r="L619" s="21">
        <v>2663</v>
      </c>
      <c r="M619" s="41" t="s">
        <v>85</v>
      </c>
      <c r="N619" s="42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</row>
    <row r="620" spans="1:27" ht="14.25" customHeight="1" x14ac:dyDescent="0.3">
      <c r="A620" s="27">
        <f t="shared" si="4"/>
        <v>4717</v>
      </c>
      <c r="B620" s="64">
        <v>43454</v>
      </c>
      <c r="C620" s="27" t="s">
        <v>614</v>
      </c>
      <c r="D620" s="27" t="s">
        <v>177</v>
      </c>
      <c r="E620" s="27"/>
      <c r="F620" s="27"/>
      <c r="G620" s="27">
        <v>67</v>
      </c>
      <c r="H620" s="28" t="s">
        <v>140</v>
      </c>
      <c r="I620" s="29">
        <v>4559</v>
      </c>
      <c r="J620" s="30" t="s">
        <v>613</v>
      </c>
      <c r="K620" s="47" t="s">
        <v>177</v>
      </c>
      <c r="L620" s="45">
        <v>2663</v>
      </c>
      <c r="M620" s="48" t="s">
        <v>85</v>
      </c>
      <c r="N620" s="33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14.25" customHeight="1" x14ac:dyDescent="0.3">
      <c r="A621" s="35">
        <f t="shared" si="4"/>
        <v>4718</v>
      </c>
      <c r="B621" s="60">
        <v>43453</v>
      </c>
      <c r="C621" s="35"/>
      <c r="D621" s="35" t="s">
        <v>615</v>
      </c>
      <c r="E621" s="35" t="s">
        <v>616</v>
      </c>
      <c r="F621" s="35"/>
      <c r="G621" s="35">
        <v>100</v>
      </c>
      <c r="H621" s="37" t="s">
        <v>379</v>
      </c>
      <c r="I621" s="38">
        <v>4553</v>
      </c>
      <c r="J621" s="39"/>
      <c r="K621" s="40" t="s">
        <v>615</v>
      </c>
      <c r="L621" s="21">
        <v>4338</v>
      </c>
      <c r="M621" s="41"/>
      <c r="N621" s="42" t="s">
        <v>616</v>
      </c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</row>
    <row r="622" spans="1:27" ht="14.25" customHeight="1" x14ac:dyDescent="0.3">
      <c r="A622" s="27">
        <f t="shared" si="4"/>
        <v>4719</v>
      </c>
      <c r="B622" s="64">
        <v>43453</v>
      </c>
      <c r="C622" s="27"/>
      <c r="D622" s="27" t="s">
        <v>617</v>
      </c>
      <c r="E622" s="27"/>
      <c r="F622" s="27"/>
      <c r="G622" s="27">
        <v>10</v>
      </c>
      <c r="H622" s="28" t="s">
        <v>379</v>
      </c>
      <c r="I622" s="29">
        <v>4648</v>
      </c>
      <c r="J622" s="30"/>
      <c r="K622" s="47" t="s">
        <v>618</v>
      </c>
      <c r="L622" s="45">
        <v>2985</v>
      </c>
      <c r="M622" s="48" t="s">
        <v>12</v>
      </c>
      <c r="N622" s="33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14.25" customHeight="1" x14ac:dyDescent="0.3">
      <c r="A623" s="35">
        <f t="shared" si="4"/>
        <v>4720</v>
      </c>
      <c r="B623" s="60">
        <v>43453</v>
      </c>
      <c r="C623" s="35"/>
      <c r="D623" s="35" t="s">
        <v>617</v>
      </c>
      <c r="E623" s="35"/>
      <c r="F623" s="35"/>
      <c r="G623" s="35">
        <v>10</v>
      </c>
      <c r="H623" s="37" t="s">
        <v>379</v>
      </c>
      <c r="I623" s="38">
        <v>2985</v>
      </c>
      <c r="J623" s="39" t="s">
        <v>12</v>
      </c>
      <c r="K623" s="40"/>
      <c r="L623" s="21">
        <v>4648</v>
      </c>
      <c r="M623" s="41" t="s">
        <v>618</v>
      </c>
      <c r="N623" s="42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</row>
    <row r="624" spans="1:27" ht="14.25" customHeight="1" x14ac:dyDescent="0.3">
      <c r="A624" s="27">
        <f t="shared" si="4"/>
        <v>4721</v>
      </c>
      <c r="B624" s="64">
        <v>43463</v>
      </c>
      <c r="C624" s="27"/>
      <c r="D624" s="27" t="s">
        <v>599</v>
      </c>
      <c r="E624" s="27"/>
      <c r="F624" s="27"/>
      <c r="G624" s="27">
        <v>10</v>
      </c>
      <c r="H624" s="28" t="s">
        <v>13</v>
      </c>
      <c r="I624" s="29"/>
      <c r="J624" s="30"/>
      <c r="K624" s="47"/>
      <c r="L624" s="45"/>
      <c r="M624" s="48"/>
      <c r="N624" s="33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</row>
    <row r="625" spans="1:27" ht="14.25" customHeight="1" x14ac:dyDescent="0.3">
      <c r="A625" s="35">
        <f t="shared" si="4"/>
        <v>4722</v>
      </c>
      <c r="B625" s="60">
        <v>43463</v>
      </c>
      <c r="C625" s="35"/>
      <c r="D625" s="35" t="s">
        <v>619</v>
      </c>
      <c r="E625" s="35"/>
      <c r="F625" s="35"/>
      <c r="G625" s="35">
        <v>11</v>
      </c>
      <c r="H625" s="37" t="s">
        <v>13</v>
      </c>
      <c r="I625" s="38"/>
      <c r="J625" s="39"/>
      <c r="K625" s="40"/>
      <c r="L625" s="21"/>
      <c r="M625" s="41"/>
      <c r="N625" s="42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</row>
    <row r="626" spans="1:27" ht="14.25" customHeight="1" x14ac:dyDescent="0.3">
      <c r="A626" s="27">
        <f t="shared" si="4"/>
        <v>4723</v>
      </c>
      <c r="B626" s="64">
        <v>43464</v>
      </c>
      <c r="C626" s="27"/>
      <c r="D626" s="27" t="s">
        <v>620</v>
      </c>
      <c r="E626" s="27"/>
      <c r="F626" s="27"/>
      <c r="G626" s="27">
        <v>40</v>
      </c>
      <c r="H626" s="28" t="s">
        <v>13</v>
      </c>
      <c r="I626" s="29"/>
      <c r="J626" s="30"/>
      <c r="K626" s="47"/>
      <c r="L626" s="45"/>
      <c r="M626" s="48"/>
      <c r="N626" s="33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14.25" customHeight="1" x14ac:dyDescent="0.3">
      <c r="A627" s="35"/>
      <c r="B627" s="60"/>
      <c r="C627" s="35"/>
      <c r="D627" s="35"/>
      <c r="E627" s="35"/>
      <c r="F627" s="35"/>
      <c r="G627" s="35"/>
      <c r="H627" s="37"/>
      <c r="I627" s="38"/>
      <c r="J627" s="39"/>
      <c r="K627" s="40"/>
      <c r="L627" s="21"/>
      <c r="M627" s="41"/>
      <c r="N627" s="42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</row>
    <row r="628" spans="1:27" ht="14.25" customHeight="1" x14ac:dyDescent="0.3">
      <c r="A628" s="27"/>
      <c r="B628" s="27"/>
      <c r="C628" s="27"/>
      <c r="D628" s="27"/>
      <c r="E628" s="27"/>
      <c r="F628" s="27"/>
      <c r="G628" s="27"/>
      <c r="H628" s="28"/>
      <c r="I628" s="29"/>
      <c r="J628" s="30"/>
      <c r="K628" s="47"/>
      <c r="L628" s="45"/>
      <c r="M628" s="48"/>
      <c r="N628" s="33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14.25" customHeight="1" x14ac:dyDescent="0.3">
      <c r="A629" s="35"/>
      <c r="B629" s="35"/>
      <c r="C629" s="35"/>
      <c r="D629" s="35"/>
      <c r="E629" s="35"/>
      <c r="F629" s="35"/>
      <c r="G629" s="35"/>
      <c r="H629" s="37"/>
      <c r="I629" s="38"/>
      <c r="J629" s="39"/>
      <c r="K629" s="40"/>
      <c r="L629" s="21"/>
      <c r="M629" s="41"/>
      <c r="N629" s="42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</row>
    <row r="630" spans="1:27" ht="14.25" customHeight="1" x14ac:dyDescent="0.3">
      <c r="A630" s="27"/>
      <c r="B630" s="27"/>
      <c r="C630" s="27"/>
      <c r="D630" s="27"/>
      <c r="E630" s="27"/>
      <c r="F630" s="27"/>
      <c r="G630" s="27"/>
      <c r="H630" s="28"/>
      <c r="I630" s="29"/>
      <c r="J630" s="30"/>
      <c r="K630" s="47"/>
      <c r="L630" s="45"/>
      <c r="M630" s="48"/>
      <c r="N630" s="33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14.25" customHeight="1" x14ac:dyDescent="0.3">
      <c r="A631" s="35"/>
      <c r="B631" s="35"/>
      <c r="C631" s="35"/>
      <c r="D631" s="35"/>
      <c r="E631" s="35"/>
      <c r="F631" s="35"/>
      <c r="G631" s="35"/>
      <c r="H631" s="37"/>
      <c r="I631" s="38"/>
      <c r="J631" s="39"/>
      <c r="K631" s="40"/>
      <c r="L631" s="21"/>
      <c r="M631" s="41"/>
      <c r="N631" s="42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</row>
    <row r="632" spans="1:27" ht="14.25" customHeight="1" x14ac:dyDescent="0.3">
      <c r="A632" s="27"/>
      <c r="B632" s="27"/>
      <c r="C632" s="27"/>
      <c r="D632" s="27"/>
      <c r="E632" s="27"/>
      <c r="F632" s="27"/>
      <c r="G632" s="27"/>
      <c r="H632" s="28"/>
      <c r="I632" s="29"/>
      <c r="J632" s="30"/>
      <c r="K632" s="47"/>
      <c r="L632" s="45"/>
      <c r="M632" s="48"/>
      <c r="N632" s="33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14.25" customHeight="1" x14ac:dyDescent="0.3">
      <c r="A633" s="35"/>
      <c r="B633" s="35"/>
      <c r="C633" s="35"/>
      <c r="D633" s="35"/>
      <c r="E633" s="35"/>
      <c r="F633" s="35"/>
      <c r="G633" s="35"/>
      <c r="H633" s="37"/>
      <c r="I633" s="38"/>
      <c r="J633" s="39"/>
      <c r="K633" s="40"/>
      <c r="L633" s="21"/>
      <c r="M633" s="41"/>
      <c r="N633" s="42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</row>
    <row r="634" spans="1:27" ht="14.25" customHeight="1" x14ac:dyDescent="0.3">
      <c r="A634" s="27"/>
      <c r="B634" s="27"/>
      <c r="C634" s="27"/>
      <c r="D634" s="27"/>
      <c r="E634" s="27"/>
      <c r="F634" s="27"/>
      <c r="G634" s="27"/>
      <c r="H634" s="28"/>
      <c r="I634" s="29"/>
      <c r="J634" s="30"/>
      <c r="K634" s="47"/>
      <c r="L634" s="45"/>
      <c r="M634" s="48"/>
      <c r="N634" s="33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14.25" customHeight="1" x14ac:dyDescent="0.3">
      <c r="A635" s="35"/>
      <c r="B635" s="35"/>
      <c r="C635" s="35"/>
      <c r="D635" s="35"/>
      <c r="E635" s="35"/>
      <c r="F635" s="35"/>
      <c r="G635" s="35"/>
      <c r="H635" s="37"/>
      <c r="I635" s="38"/>
      <c r="J635" s="39"/>
      <c r="K635" s="40"/>
      <c r="L635" s="21"/>
      <c r="M635" s="41"/>
      <c r="N635" s="42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</row>
    <row r="636" spans="1:27" ht="14.25" customHeight="1" x14ac:dyDescent="0.3">
      <c r="A636" s="27"/>
      <c r="B636" s="27"/>
      <c r="C636" s="27"/>
      <c r="D636" s="27"/>
      <c r="E636" s="27"/>
      <c r="F636" s="27"/>
      <c r="G636" s="27"/>
      <c r="H636" s="28"/>
      <c r="I636" s="29"/>
      <c r="J636" s="30"/>
      <c r="K636" s="47"/>
      <c r="L636" s="45"/>
      <c r="M636" s="48"/>
      <c r="N636" s="33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14.25" customHeight="1" x14ac:dyDescent="0.3">
      <c r="A637" s="35"/>
      <c r="B637" s="35"/>
      <c r="C637" s="35"/>
      <c r="D637" s="35"/>
      <c r="E637" s="35"/>
      <c r="F637" s="35"/>
      <c r="G637" s="35"/>
      <c r="H637" s="37"/>
      <c r="I637" s="38"/>
      <c r="J637" s="39"/>
      <c r="K637" s="40"/>
      <c r="L637" s="21"/>
      <c r="M637" s="41"/>
      <c r="N637" s="42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</row>
    <row r="638" spans="1:27" ht="14.25" customHeight="1" x14ac:dyDescent="0.3">
      <c r="A638" s="27"/>
      <c r="B638" s="27"/>
      <c r="C638" s="27"/>
      <c r="D638" s="27"/>
      <c r="E638" s="27"/>
      <c r="F638" s="27"/>
      <c r="G638" s="27"/>
      <c r="H638" s="28"/>
      <c r="I638" s="29"/>
      <c r="J638" s="30"/>
      <c r="K638" s="47"/>
      <c r="L638" s="45"/>
      <c r="M638" s="48"/>
      <c r="N638" s="33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14.25" customHeight="1" x14ac:dyDescent="0.3">
      <c r="A639" s="35"/>
      <c r="B639" s="35"/>
      <c r="C639" s="35"/>
      <c r="D639" s="35"/>
      <c r="E639" s="35"/>
      <c r="F639" s="35"/>
      <c r="G639" s="35"/>
      <c r="H639" s="37"/>
      <c r="I639" s="38"/>
      <c r="J639" s="39"/>
      <c r="K639" s="40"/>
      <c r="L639" s="21"/>
      <c r="M639" s="41"/>
      <c r="N639" s="42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</row>
    <row r="640" spans="1:27" ht="14.25" customHeight="1" x14ac:dyDescent="0.3">
      <c r="A640" s="27"/>
      <c r="B640" s="27"/>
      <c r="C640" s="27"/>
      <c r="D640" s="27"/>
      <c r="E640" s="27"/>
      <c r="F640" s="27"/>
      <c r="G640" s="27"/>
      <c r="H640" s="28"/>
      <c r="I640" s="29"/>
      <c r="J640" s="30"/>
      <c r="K640" s="47"/>
      <c r="L640" s="45"/>
      <c r="M640" s="48"/>
      <c r="N640" s="33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14.25" customHeight="1" x14ac:dyDescent="0.3">
      <c r="A641" s="35"/>
      <c r="B641" s="35"/>
      <c r="C641" s="35"/>
      <c r="D641" s="35"/>
      <c r="E641" s="35"/>
      <c r="F641" s="35"/>
      <c r="G641" s="35"/>
      <c r="H641" s="37"/>
      <c r="I641" s="38"/>
      <c r="J641" s="39"/>
      <c r="K641" s="40"/>
      <c r="L641" s="21"/>
      <c r="M641" s="41"/>
      <c r="N641" s="42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</row>
    <row r="642" spans="1:27" ht="14.25" customHeight="1" x14ac:dyDescent="0.3">
      <c r="A642" s="27"/>
      <c r="B642" s="27"/>
      <c r="C642" s="27"/>
      <c r="D642" s="27"/>
      <c r="E642" s="27"/>
      <c r="F642" s="27"/>
      <c r="G642" s="27"/>
      <c r="H642" s="28"/>
      <c r="I642" s="29"/>
      <c r="J642" s="30"/>
      <c r="K642" s="47"/>
      <c r="L642" s="45"/>
      <c r="M642" s="48"/>
      <c r="N642" s="33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14.25" customHeight="1" x14ac:dyDescent="0.3">
      <c r="A643" s="35"/>
      <c r="B643" s="35"/>
      <c r="C643" s="35"/>
      <c r="D643" s="35"/>
      <c r="E643" s="35"/>
      <c r="F643" s="35"/>
      <c r="G643" s="35"/>
      <c r="H643" s="37"/>
      <c r="I643" s="38"/>
      <c r="J643" s="39"/>
      <c r="K643" s="40"/>
      <c r="L643" s="21"/>
      <c r="M643" s="41"/>
      <c r="N643" s="42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</row>
    <row r="644" spans="1:27" ht="14.25" customHeight="1" x14ac:dyDescent="0.3">
      <c r="A644" s="27"/>
      <c r="B644" s="27"/>
      <c r="C644" s="27"/>
      <c r="D644" s="27"/>
      <c r="E644" s="27"/>
      <c r="F644" s="27"/>
      <c r="G644" s="27"/>
      <c r="H644" s="28"/>
      <c r="I644" s="29"/>
      <c r="J644" s="30"/>
      <c r="K644" s="47"/>
      <c r="L644" s="45"/>
      <c r="M644" s="48"/>
      <c r="N644" s="33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14.25" customHeight="1" x14ac:dyDescent="0.3">
      <c r="A645" s="35"/>
      <c r="B645" s="35"/>
      <c r="C645" s="35"/>
      <c r="D645" s="35"/>
      <c r="E645" s="35"/>
      <c r="F645" s="35"/>
      <c r="G645" s="35"/>
      <c r="H645" s="37"/>
      <c r="I645" s="38"/>
      <c r="J645" s="39"/>
      <c r="K645" s="40"/>
      <c r="L645" s="21"/>
      <c r="M645" s="41"/>
      <c r="N645" s="42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</row>
    <row r="646" spans="1:27" ht="14.25" customHeight="1" x14ac:dyDescent="0.3">
      <c r="A646" s="27"/>
      <c r="B646" s="27"/>
      <c r="C646" s="27"/>
      <c r="D646" s="27"/>
      <c r="E646" s="27"/>
      <c r="F646" s="27"/>
      <c r="G646" s="27"/>
      <c r="H646" s="28"/>
      <c r="I646" s="29"/>
      <c r="J646" s="30"/>
      <c r="K646" s="47"/>
      <c r="L646" s="45"/>
      <c r="M646" s="48"/>
      <c r="N646" s="33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14.25" customHeight="1" x14ac:dyDescent="0.3">
      <c r="A647" s="35"/>
      <c r="B647" s="35"/>
      <c r="C647" s="35"/>
      <c r="D647" s="35"/>
      <c r="E647" s="35"/>
      <c r="F647" s="35"/>
      <c r="G647" s="35"/>
      <c r="H647" s="37"/>
      <c r="I647" s="38"/>
      <c r="J647" s="39"/>
      <c r="K647" s="40"/>
      <c r="L647" s="21"/>
      <c r="M647" s="41"/>
      <c r="N647" s="42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</row>
    <row r="648" spans="1:27" ht="14.25" customHeight="1" x14ac:dyDescent="0.3">
      <c r="A648" s="27"/>
      <c r="B648" s="27"/>
      <c r="C648" s="27"/>
      <c r="D648" s="27"/>
      <c r="E648" s="27"/>
      <c r="F648" s="27"/>
      <c r="G648" s="27"/>
      <c r="H648" s="28"/>
      <c r="I648" s="29"/>
      <c r="J648" s="30"/>
      <c r="K648" s="47"/>
      <c r="L648" s="45"/>
      <c r="M648" s="48"/>
      <c r="N648" s="33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</row>
    <row r="649" spans="1:27" ht="14.25" customHeight="1" x14ac:dyDescent="0.3">
      <c r="A649" s="35"/>
      <c r="B649" s="35"/>
      <c r="C649" s="35"/>
      <c r="D649" s="35"/>
      <c r="E649" s="35"/>
      <c r="F649" s="35"/>
      <c r="G649" s="35"/>
      <c r="H649" s="37"/>
      <c r="I649" s="38"/>
      <c r="J649" s="39"/>
      <c r="K649" s="40"/>
      <c r="L649" s="21"/>
      <c r="M649" s="41"/>
      <c r="N649" s="42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</row>
    <row r="650" spans="1:27" ht="14.25" customHeight="1" x14ac:dyDescent="0.3">
      <c r="A650" s="27"/>
      <c r="B650" s="27"/>
      <c r="C650" s="27"/>
      <c r="D650" s="27"/>
      <c r="E650" s="27"/>
      <c r="F650" s="27"/>
      <c r="G650" s="27"/>
      <c r="H650" s="28"/>
      <c r="I650" s="29"/>
      <c r="J650" s="30"/>
      <c r="K650" s="47"/>
      <c r="L650" s="45"/>
      <c r="M650" s="48"/>
      <c r="N650" s="33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14.25" customHeight="1" x14ac:dyDescent="0.3">
      <c r="A651" s="35"/>
      <c r="B651" s="35"/>
      <c r="C651" s="35"/>
      <c r="D651" s="35"/>
      <c r="E651" s="35"/>
      <c r="F651" s="35"/>
      <c r="G651" s="35"/>
      <c r="H651" s="37"/>
      <c r="I651" s="38"/>
      <c r="J651" s="39"/>
      <c r="K651" s="40"/>
      <c r="L651" s="21"/>
      <c r="M651" s="41"/>
      <c r="N651" s="42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</row>
    <row r="652" spans="1:27" ht="14.25" customHeight="1" x14ac:dyDescent="0.3">
      <c r="A652" s="27"/>
      <c r="B652" s="27"/>
      <c r="C652" s="27"/>
      <c r="D652" s="27"/>
      <c r="E652" s="27"/>
      <c r="F652" s="27"/>
      <c r="G652" s="27"/>
      <c r="H652" s="28"/>
      <c r="I652" s="29"/>
      <c r="J652" s="30"/>
      <c r="K652" s="47"/>
      <c r="L652" s="45"/>
      <c r="M652" s="48"/>
      <c r="N652" s="33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14.25" customHeight="1" x14ac:dyDescent="0.3">
      <c r="A653" s="35"/>
      <c r="B653" s="35"/>
      <c r="C653" s="35"/>
      <c r="D653" s="35"/>
      <c r="E653" s="35"/>
      <c r="F653" s="35"/>
      <c r="G653" s="35"/>
      <c r="H653" s="37"/>
      <c r="I653" s="38"/>
      <c r="J653" s="39"/>
      <c r="K653" s="40"/>
      <c r="L653" s="21"/>
      <c r="M653" s="41"/>
      <c r="N653" s="42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</row>
    <row r="654" spans="1:27" ht="14.25" customHeight="1" x14ac:dyDescent="0.3">
      <c r="A654" s="27"/>
      <c r="B654" s="27"/>
      <c r="C654" s="27"/>
      <c r="D654" s="27"/>
      <c r="E654" s="27"/>
      <c r="F654" s="27"/>
      <c r="G654" s="27"/>
      <c r="H654" s="28"/>
      <c r="I654" s="29"/>
      <c r="J654" s="30"/>
      <c r="K654" s="47"/>
      <c r="L654" s="45"/>
      <c r="M654" s="48"/>
      <c r="N654" s="33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14.25" customHeight="1" x14ac:dyDescent="0.3">
      <c r="A655" s="35"/>
      <c r="B655" s="35"/>
      <c r="C655" s="35"/>
      <c r="D655" s="35"/>
      <c r="E655" s="35"/>
      <c r="F655" s="35"/>
      <c r="G655" s="35"/>
      <c r="H655" s="37"/>
      <c r="I655" s="38"/>
      <c r="J655" s="39"/>
      <c r="K655" s="40"/>
      <c r="L655" s="21"/>
      <c r="M655" s="41"/>
      <c r="N655" s="42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</row>
    <row r="656" spans="1:27" ht="14.25" customHeight="1" x14ac:dyDescent="0.3">
      <c r="A656" s="27"/>
      <c r="B656" s="27"/>
      <c r="C656" s="27"/>
      <c r="D656" s="27"/>
      <c r="E656" s="27"/>
      <c r="F656" s="27"/>
      <c r="G656" s="27"/>
      <c r="H656" s="28"/>
      <c r="I656" s="29"/>
      <c r="J656" s="30"/>
      <c r="K656" s="47"/>
      <c r="L656" s="45"/>
      <c r="M656" s="48"/>
      <c r="N656" s="33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4.25" customHeight="1" x14ac:dyDescent="0.3">
      <c r="A657" s="35"/>
      <c r="B657" s="35"/>
      <c r="C657" s="35"/>
      <c r="D657" s="35"/>
      <c r="E657" s="35"/>
      <c r="F657" s="35"/>
      <c r="G657" s="35"/>
      <c r="H657" s="37"/>
      <c r="I657" s="38"/>
      <c r="J657" s="39"/>
      <c r="K657" s="40"/>
      <c r="L657" s="21"/>
      <c r="M657" s="41"/>
      <c r="N657" s="42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</row>
    <row r="658" spans="1:27" ht="14.25" customHeight="1" x14ac:dyDescent="0.3">
      <c r="A658" s="27"/>
      <c r="B658" s="27"/>
      <c r="C658" s="27"/>
      <c r="D658" s="27"/>
      <c r="E658" s="27"/>
      <c r="F658" s="27"/>
      <c r="G658" s="27"/>
      <c r="H658" s="28"/>
      <c r="I658" s="29"/>
      <c r="J658" s="30"/>
      <c r="K658" s="47"/>
      <c r="L658" s="45"/>
      <c r="M658" s="48"/>
      <c r="N658" s="33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14.25" customHeight="1" x14ac:dyDescent="0.3">
      <c r="A659" s="35"/>
      <c r="B659" s="35"/>
      <c r="C659" s="35"/>
      <c r="D659" s="35"/>
      <c r="E659" s="35"/>
      <c r="F659" s="35"/>
      <c r="G659" s="35"/>
      <c r="H659" s="37"/>
      <c r="I659" s="38"/>
      <c r="J659" s="39"/>
      <c r="K659" s="40"/>
      <c r="L659" s="21"/>
      <c r="M659" s="41"/>
      <c r="N659" s="42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</row>
    <row r="660" spans="1:27" ht="14.25" customHeight="1" x14ac:dyDescent="0.3">
      <c r="A660" s="27"/>
      <c r="B660" s="27"/>
      <c r="C660" s="27"/>
      <c r="D660" s="27"/>
      <c r="E660" s="27"/>
      <c r="F660" s="27"/>
      <c r="G660" s="27"/>
      <c r="H660" s="28"/>
      <c r="I660" s="29"/>
      <c r="J660" s="30"/>
      <c r="K660" s="47"/>
      <c r="L660" s="45"/>
      <c r="M660" s="48"/>
      <c r="N660" s="33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14.25" customHeight="1" x14ac:dyDescent="0.3">
      <c r="A661" s="35"/>
      <c r="B661" s="35"/>
      <c r="C661" s="35"/>
      <c r="D661" s="35"/>
      <c r="E661" s="35"/>
      <c r="F661" s="35"/>
      <c r="G661" s="35"/>
      <c r="H661" s="37"/>
      <c r="I661" s="38"/>
      <c r="J661" s="39"/>
      <c r="K661" s="40"/>
      <c r="L661" s="21"/>
      <c r="M661" s="41"/>
      <c r="N661" s="42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</row>
    <row r="662" spans="1:27" ht="14.25" customHeight="1" x14ac:dyDescent="0.3">
      <c r="A662" s="27"/>
      <c r="B662" s="27"/>
      <c r="C662" s="27"/>
      <c r="D662" s="27"/>
      <c r="E662" s="27"/>
      <c r="F662" s="27"/>
      <c r="G662" s="27"/>
      <c r="H662" s="28"/>
      <c r="I662" s="29"/>
      <c r="J662" s="30"/>
      <c r="K662" s="47"/>
      <c r="L662" s="45"/>
      <c r="M662" s="48"/>
      <c r="N662" s="33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14.25" customHeight="1" x14ac:dyDescent="0.3">
      <c r="A663" s="35"/>
      <c r="B663" s="35"/>
      <c r="C663" s="35"/>
      <c r="D663" s="35"/>
      <c r="E663" s="35"/>
      <c r="F663" s="35"/>
      <c r="G663" s="35"/>
      <c r="H663" s="37"/>
      <c r="I663" s="38"/>
      <c r="J663" s="39"/>
      <c r="K663" s="40"/>
      <c r="L663" s="21"/>
      <c r="M663" s="41"/>
      <c r="N663" s="42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</row>
    <row r="664" spans="1:27" ht="14.25" customHeight="1" x14ac:dyDescent="0.3">
      <c r="A664" s="27"/>
      <c r="B664" s="27"/>
      <c r="C664" s="27"/>
      <c r="D664" s="27"/>
      <c r="E664" s="27"/>
      <c r="F664" s="27"/>
      <c r="G664" s="27"/>
      <c r="H664" s="28"/>
      <c r="I664" s="29"/>
      <c r="J664" s="30"/>
      <c r="K664" s="47"/>
      <c r="L664" s="45"/>
      <c r="M664" s="48"/>
      <c r="N664" s="33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14.25" customHeight="1" x14ac:dyDescent="0.3">
      <c r="A665" s="35"/>
      <c r="B665" s="35"/>
      <c r="C665" s="35"/>
      <c r="D665" s="35"/>
      <c r="E665" s="35"/>
      <c r="F665" s="35"/>
      <c r="G665" s="35"/>
      <c r="H665" s="37"/>
      <c r="I665" s="38"/>
      <c r="J665" s="39"/>
      <c r="K665" s="40"/>
      <c r="L665" s="21"/>
      <c r="M665" s="41"/>
      <c r="N665" s="42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</row>
    <row r="666" spans="1:27" ht="14.25" customHeight="1" x14ac:dyDescent="0.3">
      <c r="A666" s="27"/>
      <c r="B666" s="27"/>
      <c r="C666" s="27"/>
      <c r="D666" s="27"/>
      <c r="E666" s="27"/>
      <c r="F666" s="27"/>
      <c r="G666" s="27"/>
      <c r="H666" s="28"/>
      <c r="I666" s="29"/>
      <c r="J666" s="30"/>
      <c r="K666" s="47"/>
      <c r="L666" s="45"/>
      <c r="M666" s="48"/>
      <c r="N666" s="33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14.25" customHeight="1" x14ac:dyDescent="0.3">
      <c r="A667" s="35"/>
      <c r="B667" s="35"/>
      <c r="C667" s="35"/>
      <c r="D667" s="35"/>
      <c r="E667" s="35"/>
      <c r="F667" s="35"/>
      <c r="G667" s="35"/>
      <c r="H667" s="37"/>
      <c r="I667" s="38"/>
      <c r="J667" s="39"/>
      <c r="K667" s="40"/>
      <c r="L667" s="21"/>
      <c r="M667" s="41"/>
      <c r="N667" s="42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</row>
    <row r="668" spans="1:27" ht="14.25" customHeight="1" x14ac:dyDescent="0.3">
      <c r="A668" s="27"/>
      <c r="B668" s="27"/>
      <c r="C668" s="27"/>
      <c r="D668" s="27"/>
      <c r="E668" s="27"/>
      <c r="F668" s="27"/>
      <c r="G668" s="27"/>
      <c r="H668" s="28"/>
      <c r="I668" s="29"/>
      <c r="J668" s="30"/>
      <c r="K668" s="47"/>
      <c r="L668" s="45"/>
      <c r="M668" s="48"/>
      <c r="N668" s="33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14.25" customHeight="1" x14ac:dyDescent="0.3">
      <c r="A669" s="35"/>
      <c r="B669" s="35"/>
      <c r="C669" s="35"/>
      <c r="D669" s="35"/>
      <c r="E669" s="35"/>
      <c r="F669" s="35"/>
      <c r="G669" s="35"/>
      <c r="H669" s="37"/>
      <c r="I669" s="38"/>
      <c r="J669" s="39"/>
      <c r="K669" s="40"/>
      <c r="L669" s="21"/>
      <c r="M669" s="41"/>
      <c r="N669" s="42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</row>
    <row r="670" spans="1:27" ht="14.25" customHeight="1" x14ac:dyDescent="0.3">
      <c r="A670" s="27"/>
      <c r="B670" s="27"/>
      <c r="C670" s="27"/>
      <c r="D670" s="27"/>
      <c r="E670" s="27"/>
      <c r="F670" s="27"/>
      <c r="G670" s="27"/>
      <c r="H670" s="28"/>
      <c r="I670" s="29"/>
      <c r="J670" s="30"/>
      <c r="K670" s="47"/>
      <c r="L670" s="45"/>
      <c r="M670" s="48"/>
      <c r="N670" s="33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14.25" customHeight="1" x14ac:dyDescent="0.3">
      <c r="A671" s="35"/>
      <c r="B671" s="35"/>
      <c r="C671" s="35"/>
      <c r="D671" s="35"/>
      <c r="E671" s="35"/>
      <c r="F671" s="35"/>
      <c r="G671" s="35"/>
      <c r="H671" s="37"/>
      <c r="I671" s="38"/>
      <c r="J671" s="39"/>
      <c r="K671" s="40"/>
      <c r="L671" s="21"/>
      <c r="M671" s="41"/>
      <c r="N671" s="42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</row>
    <row r="672" spans="1:27" ht="14.25" customHeight="1" x14ac:dyDescent="0.3">
      <c r="A672" s="27"/>
      <c r="B672" s="27"/>
      <c r="C672" s="27"/>
      <c r="D672" s="27"/>
      <c r="E672" s="27"/>
      <c r="F672" s="27"/>
      <c r="G672" s="27"/>
      <c r="H672" s="28"/>
      <c r="I672" s="29"/>
      <c r="J672" s="30"/>
      <c r="K672" s="47"/>
      <c r="L672" s="45"/>
      <c r="M672" s="48"/>
      <c r="N672" s="33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14.25" customHeight="1" x14ac:dyDescent="0.3">
      <c r="A673" s="35"/>
      <c r="B673" s="35"/>
      <c r="C673" s="35"/>
      <c r="D673" s="35"/>
      <c r="E673" s="35"/>
      <c r="F673" s="35"/>
      <c r="G673" s="35"/>
      <c r="H673" s="37"/>
      <c r="I673" s="38"/>
      <c r="J673" s="39"/>
      <c r="K673" s="40"/>
      <c r="L673" s="21"/>
      <c r="M673" s="41"/>
      <c r="N673" s="42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</row>
    <row r="674" spans="1:27" ht="14.25" customHeight="1" x14ac:dyDescent="0.3">
      <c r="A674" s="27"/>
      <c r="B674" s="27"/>
      <c r="C674" s="27"/>
      <c r="D674" s="27"/>
      <c r="E674" s="27"/>
      <c r="F674" s="27"/>
      <c r="G674" s="27"/>
      <c r="H674" s="28"/>
      <c r="I674" s="29"/>
      <c r="J674" s="30"/>
      <c r="K674" s="47"/>
      <c r="L674" s="45"/>
      <c r="M674" s="48"/>
      <c r="N674" s="33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14.25" customHeight="1" x14ac:dyDescent="0.3">
      <c r="A675" s="35"/>
      <c r="B675" s="35"/>
      <c r="C675" s="35"/>
      <c r="D675" s="35"/>
      <c r="E675" s="35"/>
      <c r="F675" s="35"/>
      <c r="G675" s="35"/>
      <c r="H675" s="37"/>
      <c r="I675" s="38"/>
      <c r="J675" s="39"/>
      <c r="K675" s="40"/>
      <c r="L675" s="21"/>
      <c r="M675" s="41"/>
      <c r="N675" s="42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</row>
    <row r="676" spans="1:27" ht="14.25" customHeight="1" x14ac:dyDescent="0.3">
      <c r="A676" s="27"/>
      <c r="B676" s="27"/>
      <c r="C676" s="27"/>
      <c r="D676" s="27"/>
      <c r="E676" s="27"/>
      <c r="F676" s="27"/>
      <c r="G676" s="27"/>
      <c r="H676" s="28"/>
      <c r="I676" s="29"/>
      <c r="J676" s="30"/>
      <c r="K676" s="47"/>
      <c r="L676" s="45"/>
      <c r="M676" s="48"/>
      <c r="N676" s="33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14.25" customHeight="1" x14ac:dyDescent="0.3">
      <c r="A677" s="35"/>
      <c r="B677" s="35"/>
      <c r="C677" s="35"/>
      <c r="D677" s="35"/>
      <c r="E677" s="35"/>
      <c r="F677" s="35"/>
      <c r="G677" s="35"/>
      <c r="H677" s="37"/>
      <c r="I677" s="38"/>
      <c r="J677" s="39"/>
      <c r="K677" s="40"/>
      <c r="L677" s="21"/>
      <c r="M677" s="41"/>
      <c r="N677" s="42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</row>
    <row r="678" spans="1:27" ht="14.25" customHeight="1" x14ac:dyDescent="0.3">
      <c r="A678" s="27"/>
      <c r="B678" s="27"/>
      <c r="C678" s="27"/>
      <c r="D678" s="27"/>
      <c r="E678" s="27"/>
      <c r="F678" s="27"/>
      <c r="G678" s="27"/>
      <c r="H678" s="28"/>
      <c r="I678" s="29"/>
      <c r="J678" s="30"/>
      <c r="K678" s="47"/>
      <c r="L678" s="45"/>
      <c r="M678" s="48"/>
      <c r="N678" s="33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14.25" customHeight="1" x14ac:dyDescent="0.3">
      <c r="A679" s="35"/>
      <c r="B679" s="35"/>
      <c r="C679" s="35"/>
      <c r="D679" s="35"/>
      <c r="E679" s="35"/>
      <c r="F679" s="35"/>
      <c r="G679" s="35"/>
      <c r="H679" s="37"/>
      <c r="I679" s="38"/>
      <c r="J679" s="39"/>
      <c r="K679" s="40"/>
      <c r="L679" s="21"/>
      <c r="M679" s="41"/>
      <c r="N679" s="42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</row>
    <row r="680" spans="1:27" ht="14.25" customHeight="1" x14ac:dyDescent="0.3">
      <c r="A680" s="27"/>
      <c r="B680" s="27"/>
      <c r="C680" s="27"/>
      <c r="D680" s="27"/>
      <c r="E680" s="27"/>
      <c r="F680" s="27"/>
      <c r="G680" s="27"/>
      <c r="H680" s="28"/>
      <c r="I680" s="29"/>
      <c r="J680" s="30"/>
      <c r="K680" s="47"/>
      <c r="L680" s="45"/>
      <c r="M680" s="48"/>
      <c r="N680" s="33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14.25" customHeight="1" x14ac:dyDescent="0.3">
      <c r="A681" s="35"/>
      <c r="B681" s="35"/>
      <c r="C681" s="35"/>
      <c r="D681" s="35"/>
      <c r="E681" s="35"/>
      <c r="F681" s="35"/>
      <c r="G681" s="35"/>
      <c r="H681" s="37"/>
      <c r="I681" s="38"/>
      <c r="J681" s="39"/>
      <c r="K681" s="40"/>
      <c r="L681" s="21"/>
      <c r="M681" s="41"/>
      <c r="N681" s="42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</row>
    <row r="682" spans="1:27" ht="14.25" customHeight="1" x14ac:dyDescent="0.3">
      <c r="A682" s="27"/>
      <c r="B682" s="27"/>
      <c r="C682" s="27"/>
      <c r="D682" s="27"/>
      <c r="E682" s="27"/>
      <c r="F682" s="27"/>
      <c r="G682" s="27"/>
      <c r="H682" s="28"/>
      <c r="I682" s="29"/>
      <c r="J682" s="30"/>
      <c r="K682" s="47"/>
      <c r="L682" s="45"/>
      <c r="M682" s="48"/>
      <c r="N682" s="33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14.25" customHeight="1" x14ac:dyDescent="0.3">
      <c r="A683" s="35"/>
      <c r="B683" s="35"/>
      <c r="C683" s="35"/>
      <c r="D683" s="35"/>
      <c r="E683" s="35"/>
      <c r="F683" s="35"/>
      <c r="G683" s="35"/>
      <c r="H683" s="37"/>
      <c r="I683" s="38"/>
      <c r="J683" s="39"/>
      <c r="K683" s="40"/>
      <c r="L683" s="21"/>
      <c r="M683" s="41"/>
      <c r="N683" s="42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</row>
    <row r="684" spans="1:27" ht="14.25" customHeight="1" x14ac:dyDescent="0.3">
      <c r="A684" s="27"/>
      <c r="B684" s="27"/>
      <c r="C684" s="27"/>
      <c r="D684" s="27"/>
      <c r="E684" s="27"/>
      <c r="F684" s="27"/>
      <c r="G684" s="27"/>
      <c r="H684" s="28"/>
      <c r="I684" s="29"/>
      <c r="J684" s="30"/>
      <c r="K684" s="47"/>
      <c r="L684" s="45"/>
      <c r="M684" s="48"/>
      <c r="N684" s="33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14.25" customHeight="1" x14ac:dyDescent="0.3">
      <c r="A685" s="35"/>
      <c r="B685" s="35"/>
      <c r="C685" s="35"/>
      <c r="D685" s="35"/>
      <c r="E685" s="35"/>
      <c r="F685" s="35"/>
      <c r="G685" s="35"/>
      <c r="H685" s="37"/>
      <c r="I685" s="38"/>
      <c r="J685" s="39"/>
      <c r="K685" s="40"/>
      <c r="L685" s="21"/>
      <c r="M685" s="41"/>
      <c r="N685" s="42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</row>
    <row r="686" spans="1:27" ht="14.25" customHeight="1" x14ac:dyDescent="0.3">
      <c r="A686" s="27"/>
      <c r="B686" s="27"/>
      <c r="C686" s="27"/>
      <c r="D686" s="27"/>
      <c r="E686" s="27"/>
      <c r="F686" s="27"/>
      <c r="G686" s="27"/>
      <c r="H686" s="28"/>
      <c r="I686" s="29"/>
      <c r="J686" s="30"/>
      <c r="K686" s="47"/>
      <c r="L686" s="45"/>
      <c r="M686" s="48"/>
      <c r="N686" s="33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14.25" customHeight="1" x14ac:dyDescent="0.3">
      <c r="A687" s="35"/>
      <c r="B687" s="35"/>
      <c r="C687" s="35"/>
      <c r="D687" s="35"/>
      <c r="E687" s="35"/>
      <c r="F687" s="35"/>
      <c r="G687" s="35"/>
      <c r="H687" s="37"/>
      <c r="I687" s="38"/>
      <c r="J687" s="39"/>
      <c r="K687" s="40"/>
      <c r="L687" s="21"/>
      <c r="M687" s="41"/>
      <c r="N687" s="42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</row>
    <row r="688" spans="1:27" ht="14.25" customHeight="1" x14ac:dyDescent="0.3">
      <c r="A688" s="27"/>
      <c r="B688" s="27"/>
      <c r="C688" s="27"/>
      <c r="D688" s="27"/>
      <c r="E688" s="27"/>
      <c r="F688" s="27"/>
      <c r="G688" s="27"/>
      <c r="H688" s="28"/>
      <c r="I688" s="29"/>
      <c r="J688" s="30"/>
      <c r="K688" s="47"/>
      <c r="L688" s="45"/>
      <c r="M688" s="48"/>
      <c r="N688" s="33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14.25" customHeight="1" x14ac:dyDescent="0.3">
      <c r="A689" s="35"/>
      <c r="B689" s="35"/>
      <c r="C689" s="35"/>
      <c r="D689" s="35"/>
      <c r="E689" s="35"/>
      <c r="F689" s="35"/>
      <c r="G689" s="35"/>
      <c r="H689" s="37"/>
      <c r="I689" s="38"/>
      <c r="J689" s="39"/>
      <c r="K689" s="40"/>
      <c r="L689" s="21"/>
      <c r="M689" s="41"/>
      <c r="N689" s="42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</row>
    <row r="690" spans="1:27" ht="14.25" customHeight="1" x14ac:dyDescent="0.3">
      <c r="A690" s="27"/>
      <c r="B690" s="27"/>
      <c r="C690" s="27"/>
      <c r="D690" s="27"/>
      <c r="E690" s="27"/>
      <c r="F690" s="27"/>
      <c r="G690" s="27"/>
      <c r="H690" s="28"/>
      <c r="I690" s="29"/>
      <c r="J690" s="30"/>
      <c r="K690" s="47"/>
      <c r="L690" s="45"/>
      <c r="M690" s="48"/>
      <c r="N690" s="33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14.25" customHeight="1" x14ac:dyDescent="0.3">
      <c r="A691" s="35"/>
      <c r="B691" s="35"/>
      <c r="C691" s="35"/>
      <c r="D691" s="35"/>
      <c r="E691" s="35"/>
      <c r="F691" s="35"/>
      <c r="G691" s="35"/>
      <c r="H691" s="37"/>
      <c r="I691" s="38"/>
      <c r="J691" s="39"/>
      <c r="K691" s="40"/>
      <c r="L691" s="21"/>
      <c r="M691" s="41"/>
      <c r="N691" s="42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</row>
    <row r="692" spans="1:27" ht="14.25" customHeight="1" x14ac:dyDescent="0.3">
      <c r="A692" s="27"/>
      <c r="B692" s="27"/>
      <c r="C692" s="27"/>
      <c r="D692" s="27"/>
      <c r="E692" s="27"/>
      <c r="F692" s="27"/>
      <c r="G692" s="27"/>
      <c r="H692" s="28"/>
      <c r="I692" s="29"/>
      <c r="J692" s="30"/>
      <c r="K692" s="47"/>
      <c r="L692" s="45"/>
      <c r="M692" s="48"/>
      <c r="N692" s="33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14.25" customHeight="1" x14ac:dyDescent="0.3">
      <c r="A693" s="35"/>
      <c r="B693" s="35"/>
      <c r="C693" s="35"/>
      <c r="D693" s="35"/>
      <c r="E693" s="35"/>
      <c r="F693" s="35"/>
      <c r="G693" s="35"/>
      <c r="H693" s="37"/>
      <c r="I693" s="38"/>
      <c r="J693" s="39"/>
      <c r="K693" s="40"/>
      <c r="L693" s="21"/>
      <c r="M693" s="41"/>
      <c r="N693" s="42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</row>
    <row r="694" spans="1:27" ht="14.25" customHeight="1" x14ac:dyDescent="0.3">
      <c r="A694" s="27"/>
      <c r="B694" s="27"/>
      <c r="C694" s="27"/>
      <c r="D694" s="27"/>
      <c r="E694" s="27"/>
      <c r="F694" s="27"/>
      <c r="G694" s="27"/>
      <c r="H694" s="28"/>
      <c r="I694" s="29"/>
      <c r="J694" s="30"/>
      <c r="K694" s="47"/>
      <c r="L694" s="45"/>
      <c r="M694" s="48"/>
      <c r="N694" s="33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14.25" customHeight="1" x14ac:dyDescent="0.3">
      <c r="A695" s="35"/>
      <c r="B695" s="35"/>
      <c r="C695" s="35"/>
      <c r="D695" s="35"/>
      <c r="E695" s="35"/>
      <c r="F695" s="35"/>
      <c r="G695" s="35"/>
      <c r="H695" s="37"/>
      <c r="I695" s="38"/>
      <c r="J695" s="39"/>
      <c r="K695" s="40"/>
      <c r="L695" s="21"/>
      <c r="M695" s="41"/>
      <c r="N695" s="42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</row>
    <row r="696" spans="1:27" ht="14.25" customHeight="1" x14ac:dyDescent="0.3">
      <c r="A696" s="27"/>
      <c r="B696" s="27"/>
      <c r="C696" s="27"/>
      <c r="D696" s="27"/>
      <c r="E696" s="27"/>
      <c r="F696" s="27"/>
      <c r="G696" s="27"/>
      <c r="H696" s="28"/>
      <c r="I696" s="29"/>
      <c r="J696" s="30"/>
      <c r="K696" s="47"/>
      <c r="L696" s="45"/>
      <c r="M696" s="48"/>
      <c r="N696" s="33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14.25" customHeight="1" x14ac:dyDescent="0.3">
      <c r="A697" s="35"/>
      <c r="B697" s="35"/>
      <c r="C697" s="35"/>
      <c r="D697" s="35"/>
      <c r="E697" s="35"/>
      <c r="F697" s="35"/>
      <c r="G697" s="35"/>
      <c r="H697" s="37"/>
      <c r="I697" s="38"/>
      <c r="J697" s="39"/>
      <c r="K697" s="40"/>
      <c r="L697" s="21"/>
      <c r="M697" s="41"/>
      <c r="N697" s="42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</row>
    <row r="698" spans="1:27" ht="14.25" customHeight="1" x14ac:dyDescent="0.3">
      <c r="A698" s="27"/>
      <c r="B698" s="27"/>
      <c r="C698" s="27"/>
      <c r="D698" s="27"/>
      <c r="E698" s="27"/>
      <c r="F698" s="27"/>
      <c r="G698" s="27"/>
      <c r="H698" s="28"/>
      <c r="I698" s="29"/>
      <c r="J698" s="30"/>
      <c r="K698" s="47"/>
      <c r="L698" s="45"/>
      <c r="M698" s="48"/>
      <c r="N698" s="33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14.25" customHeight="1" x14ac:dyDescent="0.3">
      <c r="A699" s="35"/>
      <c r="B699" s="35"/>
      <c r="C699" s="35"/>
      <c r="D699" s="35"/>
      <c r="E699" s="35"/>
      <c r="F699" s="35"/>
      <c r="G699" s="35"/>
      <c r="H699" s="37"/>
      <c r="I699" s="38"/>
      <c r="J699" s="39"/>
      <c r="K699" s="40"/>
      <c r="L699" s="21"/>
      <c r="M699" s="41"/>
      <c r="N699" s="42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</row>
    <row r="700" spans="1:27" ht="14.25" customHeight="1" x14ac:dyDescent="0.3">
      <c r="A700" s="27"/>
      <c r="B700" s="27"/>
      <c r="C700" s="27"/>
      <c r="D700" s="27"/>
      <c r="E700" s="27"/>
      <c r="F700" s="27"/>
      <c r="G700" s="27"/>
      <c r="H700" s="28"/>
      <c r="I700" s="29"/>
      <c r="J700" s="30"/>
      <c r="K700" s="47"/>
      <c r="L700" s="45"/>
      <c r="M700" s="48"/>
      <c r="N700" s="33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14.25" customHeight="1" x14ac:dyDescent="0.3">
      <c r="A701" s="35"/>
      <c r="B701" s="35"/>
      <c r="C701" s="35"/>
      <c r="D701" s="35"/>
      <c r="E701" s="35"/>
      <c r="F701" s="35"/>
      <c r="G701" s="35"/>
      <c r="H701" s="37"/>
      <c r="I701" s="38"/>
      <c r="J701" s="39"/>
      <c r="K701" s="40"/>
      <c r="L701" s="21"/>
      <c r="M701" s="41"/>
      <c r="N701" s="42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</row>
    <row r="702" spans="1:27" ht="14.25" customHeight="1" x14ac:dyDescent="0.3">
      <c r="A702" s="27"/>
      <c r="B702" s="27"/>
      <c r="C702" s="27"/>
      <c r="D702" s="27"/>
      <c r="E702" s="27"/>
      <c r="F702" s="27"/>
      <c r="G702" s="27"/>
      <c r="H702" s="28"/>
      <c r="I702" s="29"/>
      <c r="J702" s="30"/>
      <c r="K702" s="47"/>
      <c r="L702" s="45"/>
      <c r="M702" s="48"/>
      <c r="N702" s="33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14.25" customHeight="1" x14ac:dyDescent="0.3">
      <c r="A703" s="35"/>
      <c r="B703" s="35"/>
      <c r="C703" s="35"/>
      <c r="D703" s="35"/>
      <c r="E703" s="35"/>
      <c r="F703" s="35"/>
      <c r="G703" s="35"/>
      <c r="H703" s="37"/>
      <c r="I703" s="38"/>
      <c r="J703" s="39"/>
      <c r="K703" s="40"/>
      <c r="L703" s="21"/>
      <c r="M703" s="41"/>
      <c r="N703" s="42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</row>
    <row r="704" spans="1:27" ht="14.25" customHeight="1" x14ac:dyDescent="0.3">
      <c r="A704" s="27"/>
      <c r="B704" s="27"/>
      <c r="C704" s="27"/>
      <c r="D704" s="27"/>
      <c r="E704" s="27"/>
      <c r="F704" s="27"/>
      <c r="G704" s="27"/>
      <c r="H704" s="28"/>
      <c r="I704" s="29"/>
      <c r="J704" s="30"/>
      <c r="K704" s="47"/>
      <c r="L704" s="45"/>
      <c r="M704" s="48"/>
      <c r="N704" s="33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14.25" customHeight="1" x14ac:dyDescent="0.3">
      <c r="A705" s="35"/>
      <c r="B705" s="35"/>
      <c r="C705" s="35"/>
      <c r="D705" s="35"/>
      <c r="E705" s="35"/>
      <c r="F705" s="35"/>
      <c r="G705" s="35"/>
      <c r="H705" s="37"/>
      <c r="I705" s="38"/>
      <c r="J705" s="39"/>
      <c r="K705" s="40"/>
      <c r="L705" s="21"/>
      <c r="M705" s="41"/>
      <c r="N705" s="42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</row>
    <row r="706" spans="1:27" ht="14.25" customHeight="1" x14ac:dyDescent="0.3">
      <c r="A706" s="27"/>
      <c r="B706" s="27"/>
      <c r="C706" s="27"/>
      <c r="D706" s="27"/>
      <c r="E706" s="27"/>
      <c r="F706" s="27"/>
      <c r="G706" s="27"/>
      <c r="H706" s="28"/>
      <c r="I706" s="29"/>
      <c r="J706" s="30"/>
      <c r="K706" s="47"/>
      <c r="L706" s="45"/>
      <c r="M706" s="48"/>
      <c r="N706" s="33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14.25" customHeight="1" x14ac:dyDescent="0.3">
      <c r="A707" s="35"/>
      <c r="B707" s="35"/>
      <c r="C707" s="35"/>
      <c r="D707" s="35"/>
      <c r="E707" s="35"/>
      <c r="F707" s="35"/>
      <c r="G707" s="35"/>
      <c r="H707" s="37"/>
      <c r="I707" s="38"/>
      <c r="J707" s="39"/>
      <c r="K707" s="40"/>
      <c r="L707" s="21"/>
      <c r="M707" s="41"/>
      <c r="N707" s="42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</row>
    <row r="708" spans="1:27" ht="14.25" customHeight="1" x14ac:dyDescent="0.3">
      <c r="A708" s="27"/>
      <c r="B708" s="27"/>
      <c r="C708" s="27"/>
      <c r="D708" s="27"/>
      <c r="E708" s="27"/>
      <c r="F708" s="27"/>
      <c r="G708" s="27"/>
      <c r="H708" s="28"/>
      <c r="I708" s="29"/>
      <c r="J708" s="30"/>
      <c r="K708" s="47"/>
      <c r="L708" s="45"/>
      <c r="M708" s="48"/>
      <c r="N708" s="33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14.25" customHeight="1" x14ac:dyDescent="0.3">
      <c r="A709" s="35"/>
      <c r="B709" s="35"/>
      <c r="C709" s="35"/>
      <c r="D709" s="35"/>
      <c r="E709" s="35"/>
      <c r="F709" s="35"/>
      <c r="G709" s="35"/>
      <c r="H709" s="37"/>
      <c r="I709" s="38"/>
      <c r="J709" s="39"/>
      <c r="K709" s="40"/>
      <c r="L709" s="21"/>
      <c r="M709" s="41"/>
      <c r="N709" s="42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</row>
    <row r="710" spans="1:27" ht="14.25" customHeight="1" x14ac:dyDescent="0.3">
      <c r="A710" s="27"/>
      <c r="B710" s="27"/>
      <c r="C710" s="27"/>
      <c r="D710" s="27"/>
      <c r="E710" s="27"/>
      <c r="F710" s="27"/>
      <c r="G710" s="27"/>
      <c r="H710" s="28"/>
      <c r="I710" s="29"/>
      <c r="J710" s="30"/>
      <c r="K710" s="47"/>
      <c r="L710" s="45"/>
      <c r="M710" s="48"/>
      <c r="N710" s="33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14.25" customHeight="1" x14ac:dyDescent="0.3">
      <c r="A711" s="35"/>
      <c r="B711" s="35"/>
      <c r="C711" s="35"/>
      <c r="D711" s="35"/>
      <c r="E711" s="35"/>
      <c r="F711" s="35"/>
      <c r="G711" s="35"/>
      <c r="H711" s="37"/>
      <c r="I711" s="38"/>
      <c r="J711" s="39"/>
      <c r="K711" s="40"/>
      <c r="L711" s="21"/>
      <c r="M711" s="41"/>
      <c r="N711" s="42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</row>
    <row r="712" spans="1:27" ht="14.25" customHeight="1" x14ac:dyDescent="0.3">
      <c r="A712" s="27"/>
      <c r="B712" s="27"/>
      <c r="C712" s="27"/>
      <c r="D712" s="27"/>
      <c r="E712" s="27"/>
      <c r="F712" s="27"/>
      <c r="G712" s="27"/>
      <c r="H712" s="28"/>
      <c r="I712" s="29"/>
      <c r="J712" s="30"/>
      <c r="K712" s="47"/>
      <c r="L712" s="45"/>
      <c r="M712" s="48"/>
      <c r="N712" s="33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14.25" customHeight="1" x14ac:dyDescent="0.3">
      <c r="A713" s="35"/>
      <c r="B713" s="35"/>
      <c r="C713" s="35"/>
      <c r="D713" s="35"/>
      <c r="E713" s="35"/>
      <c r="F713" s="35"/>
      <c r="G713" s="35"/>
      <c r="H713" s="37"/>
      <c r="I713" s="38"/>
      <c r="J713" s="39"/>
      <c r="K713" s="40"/>
      <c r="L713" s="21"/>
      <c r="M713" s="41"/>
      <c r="N713" s="42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</row>
    <row r="714" spans="1:27" ht="14.25" customHeight="1" x14ac:dyDescent="0.3">
      <c r="A714" s="27"/>
      <c r="B714" s="27"/>
      <c r="C714" s="27"/>
      <c r="D714" s="27"/>
      <c r="E714" s="27"/>
      <c r="F714" s="27"/>
      <c r="G714" s="27"/>
      <c r="H714" s="28"/>
      <c r="I714" s="29"/>
      <c r="J714" s="30"/>
      <c r="K714" s="47"/>
      <c r="L714" s="45"/>
      <c r="M714" s="48"/>
      <c r="N714" s="33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14.25" customHeight="1" x14ac:dyDescent="0.3">
      <c r="A715" s="35"/>
      <c r="B715" s="35"/>
      <c r="C715" s="35"/>
      <c r="D715" s="35"/>
      <c r="E715" s="35"/>
      <c r="F715" s="35"/>
      <c r="G715" s="35"/>
      <c r="H715" s="37"/>
      <c r="I715" s="38"/>
      <c r="J715" s="39"/>
      <c r="K715" s="40"/>
      <c r="L715" s="21"/>
      <c r="M715" s="41"/>
      <c r="N715" s="42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</row>
    <row r="716" spans="1:27" ht="14.25" customHeight="1" x14ac:dyDescent="0.3">
      <c r="A716" s="27"/>
      <c r="B716" s="27"/>
      <c r="C716" s="27"/>
      <c r="D716" s="27"/>
      <c r="E716" s="27"/>
      <c r="F716" s="27"/>
      <c r="G716" s="27"/>
      <c r="H716" s="28"/>
      <c r="I716" s="29"/>
      <c r="J716" s="30"/>
      <c r="K716" s="47"/>
      <c r="L716" s="45"/>
      <c r="M716" s="48"/>
      <c r="N716" s="33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14.25" customHeight="1" x14ac:dyDescent="0.3">
      <c r="A717" s="35"/>
      <c r="B717" s="35"/>
      <c r="C717" s="35"/>
      <c r="D717" s="35"/>
      <c r="E717" s="35"/>
      <c r="F717" s="35"/>
      <c r="G717" s="35"/>
      <c r="H717" s="37"/>
      <c r="I717" s="38"/>
      <c r="J717" s="39"/>
      <c r="K717" s="40"/>
      <c r="L717" s="21"/>
      <c r="M717" s="41"/>
      <c r="N717" s="42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</row>
    <row r="718" spans="1:27" ht="14.25" customHeight="1" x14ac:dyDescent="0.3">
      <c r="A718" s="27"/>
      <c r="B718" s="27"/>
      <c r="C718" s="27"/>
      <c r="D718" s="27"/>
      <c r="E718" s="27"/>
      <c r="F718" s="27"/>
      <c r="G718" s="27"/>
      <c r="H718" s="28"/>
      <c r="I718" s="29"/>
      <c r="J718" s="30"/>
      <c r="K718" s="47"/>
      <c r="L718" s="45"/>
      <c r="M718" s="48"/>
      <c r="N718" s="33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4.25" customHeight="1" x14ac:dyDescent="0.3">
      <c r="A719" s="35"/>
      <c r="B719" s="35"/>
      <c r="C719" s="35"/>
      <c r="D719" s="35"/>
      <c r="E719" s="35"/>
      <c r="F719" s="35"/>
      <c r="G719" s="35"/>
      <c r="H719" s="37"/>
      <c r="I719" s="38"/>
      <c r="J719" s="39"/>
      <c r="K719" s="40"/>
      <c r="L719" s="21"/>
      <c r="M719" s="41"/>
      <c r="N719" s="42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</row>
    <row r="720" spans="1:27" ht="14.25" customHeight="1" x14ac:dyDescent="0.3">
      <c r="A720" s="27"/>
      <c r="B720" s="27"/>
      <c r="C720" s="27"/>
      <c r="D720" s="27"/>
      <c r="E720" s="27"/>
      <c r="F720" s="27"/>
      <c r="G720" s="27"/>
      <c r="H720" s="28"/>
      <c r="I720" s="29"/>
      <c r="J720" s="30"/>
      <c r="K720" s="47"/>
      <c r="L720" s="45"/>
      <c r="M720" s="48"/>
      <c r="N720" s="33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14.25" customHeight="1" x14ac:dyDescent="0.3">
      <c r="A721" s="35"/>
      <c r="B721" s="35"/>
      <c r="C721" s="35"/>
      <c r="D721" s="35"/>
      <c r="E721" s="35"/>
      <c r="F721" s="35"/>
      <c r="G721" s="35"/>
      <c r="H721" s="37"/>
      <c r="I721" s="38"/>
      <c r="J721" s="39"/>
      <c r="K721" s="40"/>
      <c r="L721" s="21"/>
      <c r="M721" s="41"/>
      <c r="N721" s="42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</row>
    <row r="722" spans="1:27" ht="14.25" customHeight="1" x14ac:dyDescent="0.3">
      <c r="A722" s="27"/>
      <c r="B722" s="27"/>
      <c r="C722" s="27"/>
      <c r="D722" s="27"/>
      <c r="E722" s="27"/>
      <c r="F722" s="27"/>
      <c r="G722" s="27"/>
      <c r="H722" s="28"/>
      <c r="I722" s="29"/>
      <c r="J722" s="30"/>
      <c r="K722" s="47"/>
      <c r="L722" s="45"/>
      <c r="M722" s="48"/>
      <c r="N722" s="33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</row>
    <row r="723" spans="1:27" ht="14.25" customHeight="1" x14ac:dyDescent="0.3">
      <c r="A723" s="35"/>
      <c r="B723" s="35"/>
      <c r="C723" s="35"/>
      <c r="D723" s="35"/>
      <c r="E723" s="35"/>
      <c r="F723" s="35"/>
      <c r="G723" s="35"/>
      <c r="H723" s="37"/>
      <c r="I723" s="38"/>
      <c r="J723" s="39"/>
      <c r="K723" s="40"/>
      <c r="L723" s="21"/>
      <c r="M723" s="41"/>
      <c r="N723" s="42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</row>
    <row r="724" spans="1:27" ht="14.25" customHeight="1" x14ac:dyDescent="0.3">
      <c r="A724" s="27"/>
      <c r="B724" s="27"/>
      <c r="C724" s="27"/>
      <c r="D724" s="27"/>
      <c r="E724" s="27"/>
      <c r="F724" s="27"/>
      <c r="G724" s="27"/>
      <c r="H724" s="28"/>
      <c r="I724" s="29"/>
      <c r="J724" s="30"/>
      <c r="K724" s="47"/>
      <c r="L724" s="45"/>
      <c r="M724" s="48"/>
      <c r="N724" s="33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4.25" customHeight="1" x14ac:dyDescent="0.3">
      <c r="A725" s="35"/>
      <c r="B725" s="35"/>
      <c r="C725" s="35"/>
      <c r="D725" s="35"/>
      <c r="E725" s="35"/>
      <c r="F725" s="35"/>
      <c r="G725" s="35"/>
      <c r="H725" s="37"/>
      <c r="I725" s="38"/>
      <c r="J725" s="39"/>
      <c r="K725" s="40"/>
      <c r="L725" s="21"/>
      <c r="M725" s="41"/>
      <c r="N725" s="42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</row>
    <row r="726" spans="1:27" ht="14.25" customHeight="1" x14ac:dyDescent="0.3">
      <c r="A726" s="27"/>
      <c r="B726" s="27"/>
      <c r="C726" s="27"/>
      <c r="D726" s="27"/>
      <c r="E726" s="27"/>
      <c r="F726" s="27"/>
      <c r="G726" s="27"/>
      <c r="H726" s="28"/>
      <c r="I726" s="29"/>
      <c r="J726" s="30"/>
      <c r="K726" s="47"/>
      <c r="L726" s="45"/>
      <c r="M726" s="48"/>
      <c r="N726" s="33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14.25" customHeight="1" x14ac:dyDescent="0.3">
      <c r="A727" s="35"/>
      <c r="B727" s="35"/>
      <c r="C727" s="35"/>
      <c r="D727" s="35"/>
      <c r="E727" s="35"/>
      <c r="F727" s="35"/>
      <c r="G727" s="35"/>
      <c r="H727" s="37"/>
      <c r="I727" s="38"/>
      <c r="J727" s="39"/>
      <c r="K727" s="40"/>
      <c r="L727" s="21"/>
      <c r="M727" s="41"/>
      <c r="N727" s="42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</row>
    <row r="728" spans="1:27" ht="14.25" customHeight="1" x14ac:dyDescent="0.3">
      <c r="A728" s="27"/>
      <c r="B728" s="27"/>
      <c r="C728" s="27"/>
      <c r="D728" s="27"/>
      <c r="E728" s="27"/>
      <c r="F728" s="27"/>
      <c r="G728" s="27"/>
      <c r="H728" s="28"/>
      <c r="I728" s="29"/>
      <c r="J728" s="30"/>
      <c r="K728" s="47"/>
      <c r="L728" s="45"/>
      <c r="M728" s="48"/>
      <c r="N728" s="33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14.25" customHeight="1" x14ac:dyDescent="0.3">
      <c r="A729" s="35"/>
      <c r="B729" s="35"/>
      <c r="C729" s="35"/>
      <c r="D729" s="35"/>
      <c r="E729" s="35"/>
      <c r="F729" s="35"/>
      <c r="G729" s="35"/>
      <c r="H729" s="37"/>
      <c r="I729" s="38"/>
      <c r="J729" s="39"/>
      <c r="K729" s="40"/>
      <c r="L729" s="21"/>
      <c r="M729" s="41"/>
      <c r="N729" s="42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</row>
    <row r="730" spans="1:27" ht="14.25" customHeight="1" x14ac:dyDescent="0.3">
      <c r="A730" s="27"/>
      <c r="B730" s="27"/>
      <c r="C730" s="27"/>
      <c r="D730" s="27"/>
      <c r="E730" s="27"/>
      <c r="F730" s="27"/>
      <c r="G730" s="27"/>
      <c r="H730" s="28"/>
      <c r="I730" s="29"/>
      <c r="J730" s="30"/>
      <c r="K730" s="47"/>
      <c r="L730" s="45"/>
      <c r="M730" s="48"/>
      <c r="N730" s="33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14.25" customHeight="1" x14ac:dyDescent="0.3">
      <c r="A731" s="35"/>
      <c r="B731" s="35"/>
      <c r="C731" s="35"/>
      <c r="D731" s="35"/>
      <c r="E731" s="35"/>
      <c r="F731" s="35"/>
      <c r="G731" s="35"/>
      <c r="H731" s="37"/>
      <c r="I731" s="38"/>
      <c r="J731" s="39"/>
      <c r="K731" s="40"/>
      <c r="L731" s="21"/>
      <c r="M731" s="41"/>
      <c r="N731" s="42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</row>
    <row r="732" spans="1:27" ht="14.25" customHeight="1" x14ac:dyDescent="0.3">
      <c r="A732" s="27"/>
      <c r="B732" s="27"/>
      <c r="C732" s="27"/>
      <c r="D732" s="27"/>
      <c r="E732" s="27"/>
      <c r="F732" s="27"/>
      <c r="G732" s="27"/>
      <c r="H732" s="28"/>
      <c r="I732" s="29"/>
      <c r="J732" s="30"/>
      <c r="K732" s="47"/>
      <c r="L732" s="45"/>
      <c r="M732" s="48"/>
      <c r="N732" s="33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14.25" customHeight="1" x14ac:dyDescent="0.3">
      <c r="A733" s="35"/>
      <c r="B733" s="35"/>
      <c r="C733" s="35"/>
      <c r="D733" s="35"/>
      <c r="E733" s="35"/>
      <c r="F733" s="35"/>
      <c r="G733" s="35"/>
      <c r="H733" s="37"/>
      <c r="I733" s="38"/>
      <c r="J733" s="39"/>
      <c r="K733" s="40"/>
      <c r="L733" s="21"/>
      <c r="M733" s="41"/>
      <c r="N733" s="42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</row>
    <row r="734" spans="1:27" ht="14.25" customHeight="1" x14ac:dyDescent="0.3">
      <c r="A734" s="27"/>
      <c r="B734" s="27"/>
      <c r="C734" s="27"/>
      <c r="D734" s="27"/>
      <c r="E734" s="27"/>
      <c r="F734" s="27"/>
      <c r="G734" s="27"/>
      <c r="H734" s="28"/>
      <c r="I734" s="29"/>
      <c r="J734" s="30"/>
      <c r="K734" s="47"/>
      <c r="L734" s="45"/>
      <c r="M734" s="48"/>
      <c r="N734" s="33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14.25" customHeight="1" x14ac:dyDescent="0.3">
      <c r="A735" s="35"/>
      <c r="B735" s="35"/>
      <c r="C735" s="35"/>
      <c r="D735" s="35"/>
      <c r="E735" s="35"/>
      <c r="F735" s="35"/>
      <c r="G735" s="35"/>
      <c r="H735" s="37"/>
      <c r="I735" s="38"/>
      <c r="J735" s="39"/>
      <c r="K735" s="40"/>
      <c r="L735" s="21"/>
      <c r="M735" s="41"/>
      <c r="N735" s="42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</row>
    <row r="736" spans="1:27" ht="14.25" customHeight="1" x14ac:dyDescent="0.3">
      <c r="A736" s="27"/>
      <c r="B736" s="27"/>
      <c r="C736" s="27"/>
      <c r="D736" s="27"/>
      <c r="E736" s="27"/>
      <c r="F736" s="27"/>
      <c r="G736" s="27"/>
      <c r="H736" s="28"/>
      <c r="I736" s="29"/>
      <c r="J736" s="30"/>
      <c r="K736" s="47"/>
      <c r="L736" s="45"/>
      <c r="M736" s="48"/>
      <c r="N736" s="33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</row>
    <row r="737" spans="1:27" ht="14.25" customHeight="1" x14ac:dyDescent="0.3">
      <c r="A737" s="35"/>
      <c r="B737" s="35"/>
      <c r="C737" s="35"/>
      <c r="D737" s="35"/>
      <c r="E737" s="35"/>
      <c r="F737" s="35"/>
      <c r="G737" s="35"/>
      <c r="H737" s="37"/>
      <c r="I737" s="38"/>
      <c r="J737" s="39"/>
      <c r="K737" s="40"/>
      <c r="L737" s="21"/>
      <c r="M737" s="41"/>
      <c r="N737" s="42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</row>
    <row r="738" spans="1:27" ht="14.25" customHeight="1" x14ac:dyDescent="0.3">
      <c r="A738" s="27"/>
      <c r="B738" s="27"/>
      <c r="C738" s="27"/>
      <c r="D738" s="27"/>
      <c r="E738" s="27"/>
      <c r="F738" s="27"/>
      <c r="G738" s="27"/>
      <c r="H738" s="28"/>
      <c r="I738" s="29"/>
      <c r="J738" s="30"/>
      <c r="K738" s="47"/>
      <c r="L738" s="45"/>
      <c r="M738" s="48"/>
      <c r="N738" s="33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14.25" customHeight="1" x14ac:dyDescent="0.3">
      <c r="A739" s="35"/>
      <c r="B739" s="35"/>
      <c r="C739" s="35"/>
      <c r="D739" s="35"/>
      <c r="E739" s="35"/>
      <c r="F739" s="35"/>
      <c r="G739" s="35"/>
      <c r="H739" s="37"/>
      <c r="I739" s="38"/>
      <c r="J739" s="39"/>
      <c r="K739" s="40"/>
      <c r="L739" s="21"/>
      <c r="M739" s="41"/>
      <c r="N739" s="42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</row>
    <row r="740" spans="1:27" ht="14.25" customHeight="1" x14ac:dyDescent="0.3">
      <c r="A740" s="27"/>
      <c r="B740" s="27"/>
      <c r="C740" s="27"/>
      <c r="D740" s="27"/>
      <c r="E740" s="27"/>
      <c r="F740" s="27"/>
      <c r="G740" s="27"/>
      <c r="H740" s="28"/>
      <c r="I740" s="29"/>
      <c r="J740" s="30"/>
      <c r="K740" s="47"/>
      <c r="L740" s="45"/>
      <c r="M740" s="48"/>
      <c r="N740" s="33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14.25" customHeight="1" x14ac:dyDescent="0.3">
      <c r="A741" s="35"/>
      <c r="B741" s="35"/>
      <c r="C741" s="35"/>
      <c r="D741" s="35"/>
      <c r="E741" s="35"/>
      <c r="F741" s="35"/>
      <c r="G741" s="35"/>
      <c r="H741" s="37"/>
      <c r="I741" s="38"/>
      <c r="J741" s="39"/>
      <c r="K741" s="40"/>
      <c r="L741" s="21"/>
      <c r="M741" s="41"/>
      <c r="N741" s="42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</row>
    <row r="742" spans="1:27" ht="14.25" customHeight="1" x14ac:dyDescent="0.3">
      <c r="A742" s="27"/>
      <c r="B742" s="27"/>
      <c r="C742" s="27"/>
      <c r="D742" s="27"/>
      <c r="E742" s="27"/>
      <c r="F742" s="27"/>
      <c r="G742" s="27"/>
      <c r="H742" s="28"/>
      <c r="I742" s="29"/>
      <c r="J742" s="30"/>
      <c r="K742" s="47"/>
      <c r="L742" s="45"/>
      <c r="M742" s="48"/>
      <c r="N742" s="33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14.25" customHeight="1" x14ac:dyDescent="0.3">
      <c r="A743" s="35"/>
      <c r="B743" s="35"/>
      <c r="C743" s="35"/>
      <c r="D743" s="35"/>
      <c r="E743" s="35"/>
      <c r="F743" s="35"/>
      <c r="G743" s="35"/>
      <c r="H743" s="37"/>
      <c r="I743" s="38"/>
      <c r="J743" s="39"/>
      <c r="K743" s="40"/>
      <c r="L743" s="21"/>
      <c r="M743" s="41"/>
      <c r="N743" s="42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</row>
    <row r="744" spans="1:27" ht="14.25" customHeight="1" x14ac:dyDescent="0.3">
      <c r="A744" s="27"/>
      <c r="B744" s="27"/>
      <c r="C744" s="27"/>
      <c r="D744" s="27"/>
      <c r="E744" s="27"/>
      <c r="F744" s="27"/>
      <c r="G744" s="27"/>
      <c r="H744" s="28"/>
      <c r="I744" s="29"/>
      <c r="J744" s="30"/>
      <c r="K744" s="47"/>
      <c r="L744" s="45"/>
      <c r="M744" s="48"/>
      <c r="N744" s="33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14.25" customHeight="1" x14ac:dyDescent="0.3">
      <c r="A745" s="35"/>
      <c r="B745" s="35"/>
      <c r="C745" s="35"/>
      <c r="D745" s="35"/>
      <c r="E745" s="35"/>
      <c r="F745" s="35"/>
      <c r="G745" s="35"/>
      <c r="H745" s="37"/>
      <c r="I745" s="38"/>
      <c r="J745" s="39"/>
      <c r="K745" s="40"/>
      <c r="L745" s="21"/>
      <c r="M745" s="41"/>
      <c r="N745" s="42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</row>
    <row r="746" spans="1:27" ht="14.25" customHeight="1" x14ac:dyDescent="0.3">
      <c r="A746" s="27"/>
      <c r="B746" s="27"/>
      <c r="C746" s="27"/>
      <c r="D746" s="27"/>
      <c r="E746" s="27"/>
      <c r="F746" s="27"/>
      <c r="G746" s="27"/>
      <c r="H746" s="28"/>
      <c r="I746" s="29"/>
      <c r="J746" s="30"/>
      <c r="K746" s="47"/>
      <c r="L746" s="45"/>
      <c r="M746" s="48"/>
      <c r="N746" s="33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14.25" customHeight="1" x14ac:dyDescent="0.3">
      <c r="A747" s="35"/>
      <c r="B747" s="35"/>
      <c r="C747" s="35"/>
      <c r="D747" s="35"/>
      <c r="E747" s="35"/>
      <c r="F747" s="35"/>
      <c r="G747" s="35"/>
      <c r="H747" s="37"/>
      <c r="I747" s="38"/>
      <c r="J747" s="39"/>
      <c r="K747" s="40"/>
      <c r="L747" s="21"/>
      <c r="M747" s="41"/>
      <c r="N747" s="42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</row>
    <row r="748" spans="1:27" ht="14.25" customHeight="1" x14ac:dyDescent="0.3">
      <c r="A748" s="27"/>
      <c r="B748" s="27"/>
      <c r="C748" s="27"/>
      <c r="D748" s="27"/>
      <c r="E748" s="27"/>
      <c r="F748" s="27"/>
      <c r="G748" s="27"/>
      <c r="H748" s="28"/>
      <c r="I748" s="29"/>
      <c r="J748" s="30"/>
      <c r="K748" s="47"/>
      <c r="L748" s="45"/>
      <c r="M748" s="48"/>
      <c r="N748" s="33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4.25" customHeight="1" x14ac:dyDescent="0.3">
      <c r="A749" s="35"/>
      <c r="B749" s="35"/>
      <c r="C749" s="35"/>
      <c r="D749" s="35"/>
      <c r="E749" s="35"/>
      <c r="F749" s="35"/>
      <c r="G749" s="35"/>
      <c r="H749" s="37"/>
      <c r="I749" s="38"/>
      <c r="J749" s="39"/>
      <c r="K749" s="40"/>
      <c r="L749" s="21"/>
      <c r="M749" s="41"/>
      <c r="N749" s="42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</row>
    <row r="750" spans="1:27" ht="14.25" customHeight="1" x14ac:dyDescent="0.3">
      <c r="A750" s="27"/>
      <c r="B750" s="27"/>
      <c r="C750" s="27"/>
      <c r="D750" s="27"/>
      <c r="E750" s="27"/>
      <c r="F750" s="27"/>
      <c r="G750" s="27"/>
      <c r="H750" s="28"/>
      <c r="I750" s="29"/>
      <c r="J750" s="30"/>
      <c r="K750" s="47"/>
      <c r="L750" s="45"/>
      <c r="M750" s="48"/>
      <c r="N750" s="33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14.25" customHeight="1" x14ac:dyDescent="0.3">
      <c r="A751" s="35"/>
      <c r="B751" s="35"/>
      <c r="C751" s="35"/>
      <c r="D751" s="35"/>
      <c r="E751" s="35"/>
      <c r="F751" s="35"/>
      <c r="G751" s="35"/>
      <c r="H751" s="37"/>
      <c r="I751" s="38"/>
      <c r="J751" s="39"/>
      <c r="K751" s="40"/>
      <c r="L751" s="21"/>
      <c r="M751" s="41"/>
      <c r="N751" s="42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</row>
    <row r="752" spans="1:27" ht="14.25" customHeight="1" x14ac:dyDescent="0.3">
      <c r="A752" s="27"/>
      <c r="B752" s="27"/>
      <c r="C752" s="27"/>
      <c r="D752" s="27"/>
      <c r="E752" s="27"/>
      <c r="F752" s="27"/>
      <c r="G752" s="27"/>
      <c r="H752" s="28"/>
      <c r="I752" s="29"/>
      <c r="J752" s="30"/>
      <c r="K752" s="47"/>
      <c r="L752" s="45"/>
      <c r="M752" s="48"/>
      <c r="N752" s="33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14.25" customHeight="1" x14ac:dyDescent="0.3">
      <c r="A753" s="35"/>
      <c r="B753" s="35"/>
      <c r="C753" s="35"/>
      <c r="D753" s="35"/>
      <c r="E753" s="35"/>
      <c r="F753" s="35"/>
      <c r="G753" s="35"/>
      <c r="H753" s="37"/>
      <c r="I753" s="38"/>
      <c r="J753" s="39"/>
      <c r="K753" s="40"/>
      <c r="L753" s="21"/>
      <c r="M753" s="41"/>
      <c r="N753" s="42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</row>
    <row r="754" spans="1:27" ht="14.25" customHeight="1" x14ac:dyDescent="0.3">
      <c r="A754" s="27"/>
      <c r="B754" s="27"/>
      <c r="C754" s="27"/>
      <c r="D754" s="27"/>
      <c r="E754" s="27"/>
      <c r="F754" s="27"/>
      <c r="G754" s="27"/>
      <c r="H754" s="28"/>
      <c r="I754" s="29"/>
      <c r="J754" s="30"/>
      <c r="K754" s="47"/>
      <c r="L754" s="45"/>
      <c r="M754" s="48"/>
      <c r="N754" s="33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14.25" customHeight="1" x14ac:dyDescent="0.3">
      <c r="A755" s="35"/>
      <c r="B755" s="35"/>
      <c r="C755" s="35"/>
      <c r="D755" s="35"/>
      <c r="E755" s="35"/>
      <c r="F755" s="35"/>
      <c r="G755" s="35"/>
      <c r="H755" s="37"/>
      <c r="I755" s="38"/>
      <c r="J755" s="39"/>
      <c r="K755" s="40"/>
      <c r="L755" s="21"/>
      <c r="M755" s="41"/>
      <c r="N755" s="42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</row>
    <row r="756" spans="1:27" ht="14.25" customHeight="1" x14ac:dyDescent="0.3">
      <c r="A756" s="27"/>
      <c r="B756" s="27"/>
      <c r="C756" s="27"/>
      <c r="D756" s="27"/>
      <c r="E756" s="27"/>
      <c r="F756" s="27"/>
      <c r="G756" s="27"/>
      <c r="H756" s="28"/>
      <c r="I756" s="29"/>
      <c r="J756" s="30"/>
      <c r="K756" s="47"/>
      <c r="L756" s="45"/>
      <c r="M756" s="48"/>
      <c r="N756" s="33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</row>
    <row r="757" spans="1:27" ht="14.25" customHeight="1" x14ac:dyDescent="0.3">
      <c r="A757" s="35"/>
      <c r="B757" s="35"/>
      <c r="C757" s="35"/>
      <c r="D757" s="35"/>
      <c r="E757" s="35"/>
      <c r="F757" s="35"/>
      <c r="G757" s="35"/>
      <c r="H757" s="37"/>
      <c r="I757" s="38"/>
      <c r="J757" s="39"/>
      <c r="K757" s="40"/>
      <c r="L757" s="21"/>
      <c r="M757" s="41"/>
      <c r="N757" s="42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</row>
    <row r="758" spans="1:27" ht="14.25" customHeight="1" x14ac:dyDescent="0.3">
      <c r="A758" s="27"/>
      <c r="B758" s="27"/>
      <c r="C758" s="27"/>
      <c r="D758" s="27"/>
      <c r="E758" s="27"/>
      <c r="F758" s="27"/>
      <c r="G758" s="27"/>
      <c r="H758" s="28"/>
      <c r="I758" s="29"/>
      <c r="J758" s="30"/>
      <c r="K758" s="47"/>
      <c r="L758" s="45"/>
      <c r="M758" s="48"/>
      <c r="N758" s="33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14.25" customHeight="1" x14ac:dyDescent="0.3">
      <c r="A759" s="35"/>
      <c r="B759" s="35"/>
      <c r="C759" s="35"/>
      <c r="D759" s="35"/>
      <c r="E759" s="35"/>
      <c r="F759" s="35"/>
      <c r="G759" s="35"/>
      <c r="H759" s="37"/>
      <c r="I759" s="38"/>
      <c r="J759" s="39"/>
      <c r="K759" s="40"/>
      <c r="L759" s="21"/>
      <c r="M759" s="41"/>
      <c r="N759" s="42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</row>
    <row r="760" spans="1:27" ht="14.25" customHeight="1" x14ac:dyDescent="0.3">
      <c r="A760" s="27"/>
      <c r="B760" s="27"/>
      <c r="C760" s="27"/>
      <c r="D760" s="27"/>
      <c r="E760" s="27"/>
      <c r="F760" s="27"/>
      <c r="G760" s="27"/>
      <c r="H760" s="28"/>
      <c r="I760" s="29"/>
      <c r="J760" s="30"/>
      <c r="K760" s="47"/>
      <c r="L760" s="45"/>
      <c r="M760" s="48"/>
      <c r="N760" s="33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</row>
    <row r="761" spans="1:27" ht="14.25" customHeight="1" x14ac:dyDescent="0.3">
      <c r="A761" s="35"/>
      <c r="B761" s="35"/>
      <c r="C761" s="35"/>
      <c r="D761" s="35"/>
      <c r="E761" s="35"/>
      <c r="F761" s="35"/>
      <c r="G761" s="35"/>
      <c r="H761" s="37"/>
      <c r="I761" s="38"/>
      <c r="J761" s="39"/>
      <c r="K761" s="40"/>
      <c r="L761" s="21"/>
      <c r="M761" s="41"/>
      <c r="N761" s="42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</row>
    <row r="762" spans="1:27" ht="14.25" customHeight="1" x14ac:dyDescent="0.3">
      <c r="A762" s="27"/>
      <c r="B762" s="27"/>
      <c r="C762" s="27"/>
      <c r="D762" s="27"/>
      <c r="E762" s="27"/>
      <c r="F762" s="27"/>
      <c r="G762" s="27"/>
      <c r="H762" s="28"/>
      <c r="I762" s="29"/>
      <c r="J762" s="30"/>
      <c r="K762" s="47"/>
      <c r="L762" s="45"/>
      <c r="M762" s="48"/>
      <c r="N762" s="33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14.25" customHeight="1" x14ac:dyDescent="0.3">
      <c r="A763" s="35"/>
      <c r="B763" s="35"/>
      <c r="C763" s="35"/>
      <c r="D763" s="35"/>
      <c r="E763" s="35"/>
      <c r="F763" s="35"/>
      <c r="G763" s="35"/>
      <c r="H763" s="37"/>
      <c r="I763" s="38"/>
      <c r="J763" s="39"/>
      <c r="K763" s="40"/>
      <c r="L763" s="21"/>
      <c r="M763" s="41"/>
      <c r="N763" s="42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</row>
    <row r="764" spans="1:27" ht="14.25" customHeight="1" x14ac:dyDescent="0.3">
      <c r="A764" s="27"/>
      <c r="B764" s="27"/>
      <c r="C764" s="27"/>
      <c r="D764" s="27"/>
      <c r="E764" s="27"/>
      <c r="F764" s="27"/>
      <c r="G764" s="27"/>
      <c r="H764" s="28"/>
      <c r="I764" s="29"/>
      <c r="J764" s="30"/>
      <c r="K764" s="47"/>
      <c r="L764" s="45"/>
      <c r="M764" s="48"/>
      <c r="N764" s="33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</row>
    <row r="765" spans="1:27" ht="14.25" customHeight="1" x14ac:dyDescent="0.3">
      <c r="A765" s="35"/>
      <c r="B765" s="35"/>
      <c r="C765" s="35"/>
      <c r="D765" s="35"/>
      <c r="E765" s="35"/>
      <c r="F765" s="35"/>
      <c r="G765" s="35"/>
      <c r="H765" s="37"/>
      <c r="I765" s="38"/>
      <c r="J765" s="39"/>
      <c r="K765" s="40"/>
      <c r="L765" s="21"/>
      <c r="M765" s="41"/>
      <c r="N765" s="42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</row>
    <row r="766" spans="1:27" ht="14.25" customHeight="1" x14ac:dyDescent="0.3">
      <c r="A766" s="27"/>
      <c r="B766" s="27"/>
      <c r="C766" s="27"/>
      <c r="D766" s="27"/>
      <c r="E766" s="27"/>
      <c r="F766" s="27"/>
      <c r="G766" s="27"/>
      <c r="H766" s="28"/>
      <c r="I766" s="29"/>
      <c r="J766" s="30"/>
      <c r="K766" s="47"/>
      <c r="L766" s="45"/>
      <c r="M766" s="48"/>
      <c r="N766" s="33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4.25" customHeight="1" x14ac:dyDescent="0.3">
      <c r="A767" s="35"/>
      <c r="B767" s="35"/>
      <c r="C767" s="35"/>
      <c r="D767" s="35"/>
      <c r="E767" s="35"/>
      <c r="F767" s="35"/>
      <c r="G767" s="35"/>
      <c r="H767" s="37"/>
      <c r="I767" s="38"/>
      <c r="J767" s="39"/>
      <c r="K767" s="40"/>
      <c r="L767" s="21"/>
      <c r="M767" s="41"/>
      <c r="N767" s="42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</row>
    <row r="768" spans="1:27" ht="14.25" customHeight="1" x14ac:dyDescent="0.3">
      <c r="A768" s="27"/>
      <c r="B768" s="27"/>
      <c r="C768" s="27"/>
      <c r="D768" s="27"/>
      <c r="E768" s="27"/>
      <c r="F768" s="27"/>
      <c r="G768" s="27"/>
      <c r="H768" s="28"/>
      <c r="I768" s="29"/>
      <c r="J768" s="30"/>
      <c r="K768" s="47"/>
      <c r="L768" s="45"/>
      <c r="M768" s="48"/>
      <c r="N768" s="33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</row>
    <row r="769" spans="1:27" ht="14.25" customHeight="1" x14ac:dyDescent="0.3">
      <c r="A769" s="35"/>
      <c r="B769" s="35"/>
      <c r="C769" s="35"/>
      <c r="D769" s="35"/>
      <c r="E769" s="35"/>
      <c r="F769" s="35"/>
      <c r="G769" s="35"/>
      <c r="H769" s="37"/>
      <c r="I769" s="38"/>
      <c r="J769" s="39"/>
      <c r="K769" s="40"/>
      <c r="L769" s="21"/>
      <c r="M769" s="41"/>
      <c r="N769" s="42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</row>
    <row r="770" spans="1:27" ht="14.25" customHeight="1" x14ac:dyDescent="0.3">
      <c r="A770" s="27"/>
      <c r="B770" s="27"/>
      <c r="C770" s="27"/>
      <c r="D770" s="27"/>
      <c r="E770" s="27"/>
      <c r="F770" s="27"/>
      <c r="G770" s="27"/>
      <c r="H770" s="28"/>
      <c r="I770" s="29"/>
      <c r="J770" s="30"/>
      <c r="K770" s="47"/>
      <c r="L770" s="45"/>
      <c r="M770" s="48"/>
      <c r="N770" s="33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</row>
    <row r="771" spans="1:27" ht="14.25" customHeight="1" x14ac:dyDescent="0.3">
      <c r="A771" s="35"/>
      <c r="B771" s="35"/>
      <c r="C771" s="35"/>
      <c r="D771" s="35"/>
      <c r="E771" s="35"/>
      <c r="F771" s="35"/>
      <c r="G771" s="35"/>
      <c r="H771" s="37"/>
      <c r="I771" s="38"/>
      <c r="J771" s="39"/>
      <c r="K771" s="40"/>
      <c r="L771" s="21"/>
      <c r="M771" s="41"/>
      <c r="N771" s="42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</row>
    <row r="772" spans="1:27" ht="14.25" customHeight="1" x14ac:dyDescent="0.3">
      <c r="A772" s="27"/>
      <c r="B772" s="27"/>
      <c r="C772" s="27"/>
      <c r="D772" s="27"/>
      <c r="E772" s="27"/>
      <c r="F772" s="27"/>
      <c r="G772" s="27"/>
      <c r="H772" s="28"/>
      <c r="I772" s="29"/>
      <c r="J772" s="30"/>
      <c r="K772" s="47"/>
      <c r="L772" s="45"/>
      <c r="M772" s="48"/>
      <c r="N772" s="33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</row>
    <row r="773" spans="1:27" ht="14.25" customHeight="1" x14ac:dyDescent="0.3">
      <c r="A773" s="35"/>
      <c r="B773" s="35"/>
      <c r="C773" s="35"/>
      <c r="D773" s="35"/>
      <c r="E773" s="35"/>
      <c r="F773" s="35"/>
      <c r="G773" s="35"/>
      <c r="H773" s="37"/>
      <c r="I773" s="38"/>
      <c r="J773" s="39"/>
      <c r="K773" s="40"/>
      <c r="L773" s="21"/>
      <c r="M773" s="41"/>
      <c r="N773" s="42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</row>
    <row r="774" spans="1:27" ht="14.25" customHeight="1" x14ac:dyDescent="0.3">
      <c r="A774" s="27"/>
      <c r="B774" s="27"/>
      <c r="C774" s="27"/>
      <c r="D774" s="27"/>
      <c r="E774" s="27"/>
      <c r="F774" s="27"/>
      <c r="G774" s="27"/>
      <c r="H774" s="28"/>
      <c r="I774" s="29"/>
      <c r="J774" s="30"/>
      <c r="K774" s="47"/>
      <c r="L774" s="45"/>
      <c r="M774" s="48"/>
      <c r="N774" s="33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14.25" customHeight="1" x14ac:dyDescent="0.3">
      <c r="A775" s="35"/>
      <c r="B775" s="35"/>
      <c r="C775" s="35"/>
      <c r="D775" s="35"/>
      <c r="E775" s="35"/>
      <c r="F775" s="35"/>
      <c r="G775" s="35"/>
      <c r="H775" s="37"/>
      <c r="I775" s="38"/>
      <c r="J775" s="39"/>
      <c r="K775" s="40"/>
      <c r="L775" s="21"/>
      <c r="M775" s="41"/>
      <c r="N775" s="42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</row>
    <row r="776" spans="1:27" ht="14.25" customHeight="1" x14ac:dyDescent="0.3">
      <c r="A776" s="27"/>
      <c r="B776" s="27"/>
      <c r="C776" s="27"/>
      <c r="D776" s="27"/>
      <c r="E776" s="27"/>
      <c r="F776" s="27"/>
      <c r="G776" s="27"/>
      <c r="H776" s="28"/>
      <c r="I776" s="29"/>
      <c r="J776" s="30"/>
      <c r="K776" s="47"/>
      <c r="L776" s="45"/>
      <c r="M776" s="48"/>
      <c r="N776" s="33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14.25" customHeight="1" x14ac:dyDescent="0.3">
      <c r="A777" s="35"/>
      <c r="B777" s="35"/>
      <c r="C777" s="35"/>
      <c r="D777" s="35"/>
      <c r="E777" s="35"/>
      <c r="F777" s="35"/>
      <c r="G777" s="35"/>
      <c r="H777" s="37"/>
      <c r="I777" s="38"/>
      <c r="J777" s="39"/>
      <c r="K777" s="40"/>
      <c r="L777" s="21"/>
      <c r="M777" s="41"/>
      <c r="N777" s="42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</row>
    <row r="778" spans="1:27" ht="14.25" customHeight="1" x14ac:dyDescent="0.3">
      <c r="A778" s="27"/>
      <c r="B778" s="27"/>
      <c r="C778" s="27"/>
      <c r="D778" s="27"/>
      <c r="E778" s="27"/>
      <c r="F778" s="27"/>
      <c r="G778" s="27"/>
      <c r="H778" s="28"/>
      <c r="I778" s="29"/>
      <c r="J778" s="30"/>
      <c r="K778" s="47"/>
      <c r="L778" s="45"/>
      <c r="M778" s="48"/>
      <c r="N778" s="33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14.25" customHeight="1" x14ac:dyDescent="0.3">
      <c r="A779" s="35"/>
      <c r="B779" s="35"/>
      <c r="C779" s="35"/>
      <c r="D779" s="35"/>
      <c r="E779" s="35"/>
      <c r="F779" s="35"/>
      <c r="G779" s="35"/>
      <c r="H779" s="37"/>
      <c r="I779" s="38"/>
      <c r="J779" s="39"/>
      <c r="K779" s="40"/>
      <c r="L779" s="21"/>
      <c r="M779" s="41"/>
      <c r="N779" s="42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</row>
    <row r="780" spans="1:27" ht="14.25" customHeight="1" x14ac:dyDescent="0.3">
      <c r="A780" s="27"/>
      <c r="B780" s="27"/>
      <c r="C780" s="27"/>
      <c r="D780" s="27"/>
      <c r="E780" s="27"/>
      <c r="F780" s="27"/>
      <c r="G780" s="27"/>
      <c r="H780" s="28"/>
      <c r="I780" s="29"/>
      <c r="J780" s="30"/>
      <c r="K780" s="47"/>
      <c r="L780" s="45"/>
      <c r="M780" s="48"/>
      <c r="N780" s="33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4.25" customHeight="1" x14ac:dyDescent="0.3">
      <c r="A781" s="35"/>
      <c r="B781" s="35"/>
      <c r="C781" s="35"/>
      <c r="D781" s="35"/>
      <c r="E781" s="35"/>
      <c r="F781" s="35"/>
      <c r="G781" s="35"/>
      <c r="H781" s="37"/>
      <c r="I781" s="38"/>
      <c r="J781" s="39"/>
      <c r="K781" s="40"/>
      <c r="L781" s="21"/>
      <c r="M781" s="41"/>
      <c r="N781" s="42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</row>
    <row r="782" spans="1:27" ht="14.25" customHeight="1" x14ac:dyDescent="0.3">
      <c r="A782" s="27"/>
      <c r="B782" s="27"/>
      <c r="C782" s="27"/>
      <c r="D782" s="27"/>
      <c r="E782" s="27"/>
      <c r="F782" s="27"/>
      <c r="G782" s="27"/>
      <c r="H782" s="28"/>
      <c r="I782" s="29"/>
      <c r="J782" s="30"/>
      <c r="K782" s="47"/>
      <c r="L782" s="45"/>
      <c r="M782" s="48"/>
      <c r="N782" s="33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14.25" customHeight="1" x14ac:dyDescent="0.3">
      <c r="A783" s="35"/>
      <c r="B783" s="35"/>
      <c r="C783" s="35"/>
      <c r="D783" s="35"/>
      <c r="E783" s="35"/>
      <c r="F783" s="35"/>
      <c r="G783" s="35"/>
      <c r="H783" s="37"/>
      <c r="I783" s="38"/>
      <c r="J783" s="39"/>
      <c r="K783" s="40"/>
      <c r="L783" s="21"/>
      <c r="M783" s="41"/>
      <c r="N783" s="42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</row>
    <row r="784" spans="1:27" ht="14.25" customHeight="1" x14ac:dyDescent="0.3">
      <c r="A784" s="27"/>
      <c r="B784" s="27"/>
      <c r="C784" s="27"/>
      <c r="D784" s="27"/>
      <c r="E784" s="27"/>
      <c r="F784" s="27"/>
      <c r="G784" s="27"/>
      <c r="H784" s="28"/>
      <c r="I784" s="29"/>
      <c r="J784" s="30"/>
      <c r="K784" s="47"/>
      <c r="L784" s="45"/>
      <c r="M784" s="48"/>
      <c r="N784" s="33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4.25" customHeight="1" x14ac:dyDescent="0.3">
      <c r="A785" s="35"/>
      <c r="B785" s="35"/>
      <c r="C785" s="35"/>
      <c r="D785" s="35"/>
      <c r="E785" s="35"/>
      <c r="F785" s="35"/>
      <c r="G785" s="35"/>
      <c r="H785" s="37"/>
      <c r="I785" s="38"/>
      <c r="J785" s="39"/>
      <c r="K785" s="40"/>
      <c r="L785" s="21"/>
      <c r="M785" s="41"/>
      <c r="N785" s="42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</row>
    <row r="786" spans="1:27" ht="14.25" customHeight="1" x14ac:dyDescent="0.3">
      <c r="A786" s="27"/>
      <c r="B786" s="27"/>
      <c r="C786" s="27"/>
      <c r="D786" s="27"/>
      <c r="E786" s="27"/>
      <c r="F786" s="27"/>
      <c r="G786" s="27"/>
      <c r="H786" s="28"/>
      <c r="I786" s="29"/>
      <c r="J786" s="30"/>
      <c r="K786" s="47"/>
      <c r="L786" s="45"/>
      <c r="M786" s="48"/>
      <c r="N786" s="33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14.25" customHeight="1" x14ac:dyDescent="0.3">
      <c r="A787" s="35"/>
      <c r="B787" s="35"/>
      <c r="C787" s="35"/>
      <c r="D787" s="35"/>
      <c r="E787" s="35"/>
      <c r="F787" s="35"/>
      <c r="G787" s="35"/>
      <c r="H787" s="37"/>
      <c r="I787" s="38"/>
      <c r="J787" s="39"/>
      <c r="K787" s="40"/>
      <c r="L787" s="21"/>
      <c r="M787" s="41"/>
      <c r="N787" s="42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</row>
    <row r="788" spans="1:27" ht="14.25" customHeight="1" x14ac:dyDescent="0.3">
      <c r="A788" s="27"/>
      <c r="B788" s="27"/>
      <c r="C788" s="27"/>
      <c r="D788" s="27"/>
      <c r="E788" s="27"/>
      <c r="F788" s="27"/>
      <c r="G788" s="27"/>
      <c r="H788" s="28"/>
      <c r="I788" s="29"/>
      <c r="J788" s="30"/>
      <c r="K788" s="47"/>
      <c r="L788" s="45"/>
      <c r="M788" s="48"/>
      <c r="N788" s="33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4.25" customHeight="1" x14ac:dyDescent="0.3">
      <c r="A789" s="35"/>
      <c r="B789" s="35"/>
      <c r="C789" s="35"/>
      <c r="D789" s="35"/>
      <c r="E789" s="35"/>
      <c r="F789" s="35"/>
      <c r="G789" s="35"/>
      <c r="H789" s="37"/>
      <c r="I789" s="38"/>
      <c r="J789" s="39"/>
      <c r="K789" s="40"/>
      <c r="L789" s="21"/>
      <c r="M789" s="41"/>
      <c r="N789" s="42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</row>
    <row r="790" spans="1:27" ht="14.25" customHeight="1" x14ac:dyDescent="0.3">
      <c r="A790" s="27"/>
      <c r="B790" s="27"/>
      <c r="C790" s="27"/>
      <c r="D790" s="27"/>
      <c r="E790" s="27"/>
      <c r="F790" s="27"/>
      <c r="G790" s="27"/>
      <c r="H790" s="28"/>
      <c r="I790" s="29"/>
      <c r="J790" s="30"/>
      <c r="K790" s="47"/>
      <c r="L790" s="45"/>
      <c r="M790" s="48"/>
      <c r="N790" s="33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14.25" customHeight="1" x14ac:dyDescent="0.3">
      <c r="A791" s="35"/>
      <c r="B791" s="35"/>
      <c r="C791" s="35"/>
      <c r="D791" s="35"/>
      <c r="E791" s="35"/>
      <c r="F791" s="35"/>
      <c r="G791" s="35"/>
      <c r="H791" s="37"/>
      <c r="I791" s="38"/>
      <c r="J791" s="39"/>
      <c r="K791" s="40"/>
      <c r="L791" s="21"/>
      <c r="M791" s="41"/>
      <c r="N791" s="42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</row>
    <row r="792" spans="1:27" ht="14.25" customHeight="1" x14ac:dyDescent="0.3">
      <c r="A792" s="27"/>
      <c r="B792" s="27"/>
      <c r="C792" s="27"/>
      <c r="D792" s="27"/>
      <c r="E792" s="27"/>
      <c r="F792" s="27"/>
      <c r="G792" s="27"/>
      <c r="H792" s="28"/>
      <c r="I792" s="29"/>
      <c r="J792" s="30"/>
      <c r="K792" s="47"/>
      <c r="L792" s="45"/>
      <c r="M792" s="48"/>
      <c r="N792" s="33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14.25" customHeight="1" x14ac:dyDescent="0.3">
      <c r="A793" s="35"/>
      <c r="B793" s="35"/>
      <c r="C793" s="35"/>
      <c r="D793" s="35"/>
      <c r="E793" s="35"/>
      <c r="F793" s="35"/>
      <c r="G793" s="35"/>
      <c r="H793" s="37"/>
      <c r="I793" s="38"/>
      <c r="J793" s="39"/>
      <c r="K793" s="40"/>
      <c r="L793" s="21"/>
      <c r="M793" s="41"/>
      <c r="N793" s="42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</row>
    <row r="794" spans="1:27" ht="14.25" customHeight="1" x14ac:dyDescent="0.3">
      <c r="A794" s="27"/>
      <c r="B794" s="27"/>
      <c r="C794" s="27"/>
      <c r="D794" s="27"/>
      <c r="E794" s="27"/>
      <c r="F794" s="27"/>
      <c r="G794" s="27"/>
      <c r="H794" s="28"/>
      <c r="I794" s="29"/>
      <c r="J794" s="30"/>
      <c r="K794" s="47"/>
      <c r="L794" s="45"/>
      <c r="M794" s="48"/>
      <c r="N794" s="33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</row>
    <row r="795" spans="1:27" ht="14.25" customHeight="1" x14ac:dyDescent="0.3">
      <c r="A795" s="35"/>
      <c r="B795" s="35"/>
      <c r="C795" s="35"/>
      <c r="D795" s="35"/>
      <c r="E795" s="35"/>
      <c r="F795" s="35"/>
      <c r="G795" s="35"/>
      <c r="H795" s="37"/>
      <c r="I795" s="38"/>
      <c r="J795" s="39"/>
      <c r="K795" s="40"/>
      <c r="L795" s="21"/>
      <c r="M795" s="41"/>
      <c r="N795" s="42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</row>
    <row r="796" spans="1:27" ht="14.25" customHeight="1" x14ac:dyDescent="0.3">
      <c r="A796" s="27"/>
      <c r="B796" s="27"/>
      <c r="C796" s="27"/>
      <c r="D796" s="27"/>
      <c r="E796" s="27"/>
      <c r="F796" s="27"/>
      <c r="G796" s="27"/>
      <c r="H796" s="28"/>
      <c r="I796" s="29"/>
      <c r="J796" s="30"/>
      <c r="K796" s="47"/>
      <c r="L796" s="45"/>
      <c r="M796" s="48"/>
      <c r="N796" s="33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4.25" customHeight="1" x14ac:dyDescent="0.3">
      <c r="A797" s="35"/>
      <c r="B797" s="35"/>
      <c r="C797" s="35"/>
      <c r="D797" s="35"/>
      <c r="E797" s="35"/>
      <c r="F797" s="35"/>
      <c r="G797" s="35"/>
      <c r="H797" s="37"/>
      <c r="I797" s="38"/>
      <c r="J797" s="39"/>
      <c r="K797" s="40"/>
      <c r="L797" s="21"/>
      <c r="M797" s="41"/>
      <c r="N797" s="42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</row>
    <row r="798" spans="1:27" ht="14.25" customHeight="1" x14ac:dyDescent="0.3">
      <c r="A798" s="27"/>
      <c r="B798" s="27"/>
      <c r="C798" s="27"/>
      <c r="D798" s="27"/>
      <c r="E798" s="27"/>
      <c r="F798" s="27"/>
      <c r="G798" s="27"/>
      <c r="H798" s="28"/>
      <c r="I798" s="29"/>
      <c r="J798" s="30"/>
      <c r="K798" s="47"/>
      <c r="L798" s="45"/>
      <c r="M798" s="48"/>
      <c r="N798" s="33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</row>
    <row r="799" spans="1:27" ht="14.25" customHeight="1" x14ac:dyDescent="0.3">
      <c r="A799" s="35"/>
      <c r="B799" s="35"/>
      <c r="C799" s="35"/>
      <c r="D799" s="35"/>
      <c r="E799" s="35"/>
      <c r="F799" s="35"/>
      <c r="G799" s="35"/>
      <c r="H799" s="37"/>
      <c r="I799" s="38"/>
      <c r="J799" s="39"/>
      <c r="K799" s="40"/>
      <c r="L799" s="21"/>
      <c r="M799" s="41"/>
      <c r="N799" s="42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</row>
    <row r="800" spans="1:27" ht="14.25" customHeight="1" x14ac:dyDescent="0.3">
      <c r="A800" s="27"/>
      <c r="B800" s="27"/>
      <c r="C800" s="27"/>
      <c r="D800" s="27"/>
      <c r="E800" s="27"/>
      <c r="F800" s="27"/>
      <c r="G800" s="27"/>
      <c r="H800" s="28"/>
      <c r="I800" s="29"/>
      <c r="J800" s="30"/>
      <c r="K800" s="47"/>
      <c r="L800" s="45"/>
      <c r="M800" s="48"/>
      <c r="N800" s="33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14.25" customHeight="1" x14ac:dyDescent="0.3">
      <c r="A801" s="35"/>
      <c r="B801" s="35"/>
      <c r="C801" s="35"/>
      <c r="D801" s="35"/>
      <c r="E801" s="35"/>
      <c r="F801" s="35"/>
      <c r="G801" s="35"/>
      <c r="H801" s="37"/>
      <c r="I801" s="38"/>
      <c r="J801" s="39"/>
      <c r="K801" s="40"/>
      <c r="L801" s="21"/>
      <c r="M801" s="41"/>
      <c r="N801" s="42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</row>
    <row r="802" spans="1:27" ht="14.25" customHeight="1" x14ac:dyDescent="0.3">
      <c r="A802" s="27"/>
      <c r="B802" s="27"/>
      <c r="C802" s="27"/>
      <c r="D802" s="27"/>
      <c r="E802" s="27"/>
      <c r="F802" s="27"/>
      <c r="G802" s="27"/>
      <c r="H802" s="28"/>
      <c r="I802" s="29"/>
      <c r="J802" s="30"/>
      <c r="K802" s="47"/>
      <c r="L802" s="45"/>
      <c r="M802" s="48"/>
      <c r="N802" s="33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</row>
    <row r="803" spans="1:27" ht="14.25" customHeight="1" x14ac:dyDescent="0.3">
      <c r="A803" s="35"/>
      <c r="B803" s="35"/>
      <c r="C803" s="35"/>
      <c r="D803" s="35"/>
      <c r="E803" s="35"/>
      <c r="F803" s="35"/>
      <c r="G803" s="35"/>
      <c r="H803" s="37"/>
      <c r="I803" s="38"/>
      <c r="J803" s="39"/>
      <c r="K803" s="40"/>
      <c r="L803" s="21"/>
      <c r="M803" s="41"/>
      <c r="N803" s="42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</row>
    <row r="804" spans="1:27" ht="14.25" customHeight="1" x14ac:dyDescent="0.3">
      <c r="A804" s="27"/>
      <c r="B804" s="27"/>
      <c r="C804" s="27"/>
      <c r="D804" s="27"/>
      <c r="E804" s="27"/>
      <c r="F804" s="27"/>
      <c r="G804" s="27"/>
      <c r="H804" s="28"/>
      <c r="I804" s="29"/>
      <c r="J804" s="30"/>
      <c r="K804" s="47"/>
      <c r="L804" s="45"/>
      <c r="M804" s="48"/>
      <c r="N804" s="33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4.25" customHeight="1" x14ac:dyDescent="0.3">
      <c r="A805" s="35"/>
      <c r="B805" s="35"/>
      <c r="C805" s="35"/>
      <c r="D805" s="35"/>
      <c r="E805" s="35"/>
      <c r="F805" s="35"/>
      <c r="G805" s="35"/>
      <c r="H805" s="37"/>
      <c r="I805" s="38"/>
      <c r="J805" s="39"/>
      <c r="K805" s="40"/>
      <c r="L805" s="21"/>
      <c r="M805" s="41"/>
      <c r="N805" s="42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</row>
    <row r="806" spans="1:27" ht="14.25" customHeight="1" x14ac:dyDescent="0.3">
      <c r="A806" s="27"/>
      <c r="B806" s="27"/>
      <c r="C806" s="27"/>
      <c r="D806" s="27"/>
      <c r="E806" s="27"/>
      <c r="F806" s="27"/>
      <c r="G806" s="27"/>
      <c r="H806" s="28"/>
      <c r="I806" s="29"/>
      <c r="J806" s="30"/>
      <c r="K806" s="47"/>
      <c r="L806" s="45"/>
      <c r="M806" s="48"/>
      <c r="N806" s="33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</row>
    <row r="807" spans="1:27" ht="14.25" customHeight="1" x14ac:dyDescent="0.3">
      <c r="A807" s="35"/>
      <c r="B807" s="35"/>
      <c r="C807" s="35"/>
      <c r="D807" s="35"/>
      <c r="E807" s="35"/>
      <c r="F807" s="35"/>
      <c r="G807" s="35"/>
      <c r="H807" s="37"/>
      <c r="I807" s="38"/>
      <c r="J807" s="39"/>
      <c r="K807" s="40"/>
      <c r="L807" s="21"/>
      <c r="M807" s="41"/>
      <c r="N807" s="42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</row>
    <row r="808" spans="1:27" ht="14.25" customHeight="1" x14ac:dyDescent="0.3">
      <c r="A808" s="27"/>
      <c r="B808" s="27"/>
      <c r="C808" s="27"/>
      <c r="D808" s="27"/>
      <c r="E808" s="27"/>
      <c r="F808" s="27"/>
      <c r="G808" s="27"/>
      <c r="H808" s="28"/>
      <c r="I808" s="29"/>
      <c r="J808" s="30"/>
      <c r="K808" s="47"/>
      <c r="L808" s="45"/>
      <c r="M808" s="48"/>
      <c r="N808" s="33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</row>
    <row r="809" spans="1:27" ht="14.25" customHeight="1" x14ac:dyDescent="0.3">
      <c r="A809" s="35"/>
      <c r="B809" s="35"/>
      <c r="C809" s="35"/>
      <c r="D809" s="35"/>
      <c r="E809" s="35"/>
      <c r="F809" s="35"/>
      <c r="G809" s="35"/>
      <c r="H809" s="37"/>
      <c r="I809" s="38"/>
      <c r="J809" s="39"/>
      <c r="K809" s="40"/>
      <c r="L809" s="21"/>
      <c r="M809" s="41"/>
      <c r="N809" s="42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</row>
    <row r="810" spans="1:27" ht="14.25" customHeight="1" x14ac:dyDescent="0.3">
      <c r="A810" s="27"/>
      <c r="B810" s="27"/>
      <c r="C810" s="27"/>
      <c r="D810" s="27"/>
      <c r="E810" s="27"/>
      <c r="F810" s="27"/>
      <c r="G810" s="27"/>
      <c r="H810" s="28"/>
      <c r="I810" s="29"/>
      <c r="J810" s="30"/>
      <c r="K810" s="47"/>
      <c r="L810" s="45"/>
      <c r="M810" s="48"/>
      <c r="N810" s="33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</row>
    <row r="811" spans="1:27" ht="14.25" customHeight="1" x14ac:dyDescent="0.3">
      <c r="A811" s="35"/>
      <c r="B811" s="35"/>
      <c r="C811" s="35"/>
      <c r="D811" s="35"/>
      <c r="E811" s="35"/>
      <c r="F811" s="35"/>
      <c r="G811" s="35"/>
      <c r="H811" s="37"/>
      <c r="I811" s="38"/>
      <c r="J811" s="39"/>
      <c r="K811" s="40"/>
      <c r="L811" s="21"/>
      <c r="M811" s="41"/>
      <c r="N811" s="42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</row>
    <row r="812" spans="1:27" ht="14.25" customHeight="1" x14ac:dyDescent="0.3">
      <c r="A812" s="27"/>
      <c r="B812" s="27"/>
      <c r="C812" s="27"/>
      <c r="D812" s="27"/>
      <c r="E812" s="27"/>
      <c r="F812" s="27"/>
      <c r="G812" s="27"/>
      <c r="H812" s="28"/>
      <c r="I812" s="29"/>
      <c r="J812" s="30"/>
      <c r="K812" s="47"/>
      <c r="L812" s="45"/>
      <c r="M812" s="48"/>
      <c r="N812" s="33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14.25" customHeight="1" x14ac:dyDescent="0.3">
      <c r="A813" s="35"/>
      <c r="B813" s="35"/>
      <c r="C813" s="35"/>
      <c r="D813" s="35"/>
      <c r="E813" s="35"/>
      <c r="F813" s="35"/>
      <c r="G813" s="35"/>
      <c r="H813" s="37"/>
      <c r="I813" s="38"/>
      <c r="J813" s="39"/>
      <c r="K813" s="40"/>
      <c r="L813" s="21"/>
      <c r="M813" s="41"/>
      <c r="N813" s="42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</row>
    <row r="814" spans="1:27" ht="14.25" customHeight="1" x14ac:dyDescent="0.3">
      <c r="A814" s="27"/>
      <c r="B814" s="27"/>
      <c r="C814" s="27"/>
      <c r="D814" s="27"/>
      <c r="E814" s="27"/>
      <c r="F814" s="27"/>
      <c r="G814" s="27"/>
      <c r="H814" s="28"/>
      <c r="I814" s="29"/>
      <c r="J814" s="30"/>
      <c r="K814" s="47"/>
      <c r="L814" s="45"/>
      <c r="M814" s="48"/>
      <c r="N814" s="33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14.25" customHeight="1" x14ac:dyDescent="0.3">
      <c r="A815" s="35"/>
      <c r="B815" s="35"/>
      <c r="C815" s="35"/>
      <c r="D815" s="35"/>
      <c r="E815" s="35"/>
      <c r="F815" s="35"/>
      <c r="G815" s="35"/>
      <c r="H815" s="37"/>
      <c r="I815" s="38"/>
      <c r="J815" s="39"/>
      <c r="K815" s="40"/>
      <c r="L815" s="21"/>
      <c r="M815" s="41"/>
      <c r="N815" s="42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</row>
    <row r="816" spans="1:27" ht="14.25" customHeight="1" x14ac:dyDescent="0.3">
      <c r="A816" s="27"/>
      <c r="B816" s="27"/>
      <c r="C816" s="27"/>
      <c r="D816" s="27"/>
      <c r="E816" s="27"/>
      <c r="F816" s="27"/>
      <c r="G816" s="27"/>
      <c r="H816" s="28"/>
      <c r="I816" s="29"/>
      <c r="J816" s="30"/>
      <c r="K816" s="47"/>
      <c r="L816" s="45"/>
      <c r="M816" s="48"/>
      <c r="N816" s="33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14.25" customHeight="1" x14ac:dyDescent="0.3">
      <c r="A817" s="35"/>
      <c r="B817" s="35"/>
      <c r="C817" s="35"/>
      <c r="D817" s="35"/>
      <c r="E817" s="35"/>
      <c r="F817" s="35"/>
      <c r="G817" s="35"/>
      <c r="H817" s="37"/>
      <c r="I817" s="38"/>
      <c r="J817" s="39"/>
      <c r="K817" s="40"/>
      <c r="L817" s="21"/>
      <c r="M817" s="41"/>
      <c r="N817" s="42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</row>
    <row r="818" spans="1:27" ht="14.25" customHeight="1" x14ac:dyDescent="0.3">
      <c r="A818" s="27"/>
      <c r="B818" s="27"/>
      <c r="C818" s="27"/>
      <c r="D818" s="27"/>
      <c r="E818" s="27"/>
      <c r="F818" s="27"/>
      <c r="G818" s="27"/>
      <c r="H818" s="28"/>
      <c r="I818" s="29"/>
      <c r="J818" s="30"/>
      <c r="K818" s="47"/>
      <c r="L818" s="45"/>
      <c r="M818" s="48"/>
      <c r="N818" s="33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14.25" customHeight="1" x14ac:dyDescent="0.3">
      <c r="A819" s="35"/>
      <c r="B819" s="35"/>
      <c r="C819" s="35"/>
      <c r="D819" s="35"/>
      <c r="E819" s="35"/>
      <c r="F819" s="35"/>
      <c r="G819" s="35"/>
      <c r="H819" s="37"/>
      <c r="I819" s="38"/>
      <c r="J819" s="39"/>
      <c r="K819" s="40"/>
      <c r="L819" s="21"/>
      <c r="M819" s="41"/>
      <c r="N819" s="42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</row>
    <row r="820" spans="1:27" ht="14.25" customHeight="1" x14ac:dyDescent="0.3">
      <c r="A820" s="27"/>
      <c r="B820" s="27"/>
      <c r="C820" s="27"/>
      <c r="D820" s="27"/>
      <c r="E820" s="27"/>
      <c r="F820" s="27"/>
      <c r="G820" s="27"/>
      <c r="H820" s="28"/>
      <c r="I820" s="29"/>
      <c r="J820" s="30"/>
      <c r="K820" s="47"/>
      <c r="L820" s="45"/>
      <c r="M820" s="48"/>
      <c r="N820" s="33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</row>
    <row r="821" spans="1:27" ht="14.25" customHeight="1" x14ac:dyDescent="0.3">
      <c r="A821" s="35"/>
      <c r="B821" s="35"/>
      <c r="C821" s="35"/>
      <c r="D821" s="35"/>
      <c r="E821" s="35"/>
      <c r="F821" s="35"/>
      <c r="G821" s="35"/>
      <c r="H821" s="37"/>
      <c r="I821" s="38"/>
      <c r="J821" s="39"/>
      <c r="K821" s="40"/>
      <c r="L821" s="21"/>
      <c r="M821" s="41"/>
      <c r="N821" s="42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</row>
    <row r="822" spans="1:27" ht="14.25" customHeight="1" x14ac:dyDescent="0.3">
      <c r="A822" s="27"/>
      <c r="B822" s="27"/>
      <c r="C822" s="27"/>
      <c r="D822" s="27"/>
      <c r="E822" s="27"/>
      <c r="F822" s="27"/>
      <c r="G822" s="27"/>
      <c r="H822" s="28"/>
      <c r="I822" s="29"/>
      <c r="J822" s="30"/>
      <c r="K822" s="47"/>
      <c r="L822" s="45"/>
      <c r="M822" s="48"/>
      <c r="N822" s="33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14.25" customHeight="1" x14ac:dyDescent="0.3">
      <c r="A823" s="35"/>
      <c r="B823" s="35"/>
      <c r="C823" s="35"/>
      <c r="D823" s="35"/>
      <c r="E823" s="35"/>
      <c r="F823" s="35"/>
      <c r="G823" s="35"/>
      <c r="H823" s="37"/>
      <c r="I823" s="38"/>
      <c r="J823" s="39"/>
      <c r="K823" s="40"/>
      <c r="L823" s="21"/>
      <c r="M823" s="41"/>
      <c r="N823" s="42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</row>
    <row r="824" spans="1:27" ht="14.25" customHeight="1" x14ac:dyDescent="0.3">
      <c r="A824" s="27"/>
      <c r="B824" s="27"/>
      <c r="C824" s="27"/>
      <c r="D824" s="27"/>
      <c r="E824" s="27"/>
      <c r="F824" s="27"/>
      <c r="G824" s="27"/>
      <c r="H824" s="28"/>
      <c r="I824" s="29"/>
      <c r="J824" s="30"/>
      <c r="K824" s="47"/>
      <c r="L824" s="45"/>
      <c r="M824" s="48"/>
      <c r="N824" s="33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</row>
    <row r="825" spans="1:27" ht="14.25" customHeight="1" x14ac:dyDescent="0.3">
      <c r="A825" s="35"/>
      <c r="B825" s="35"/>
      <c r="C825" s="35"/>
      <c r="D825" s="35"/>
      <c r="E825" s="35"/>
      <c r="F825" s="35"/>
      <c r="G825" s="35"/>
      <c r="H825" s="37"/>
      <c r="I825" s="38"/>
      <c r="J825" s="39"/>
      <c r="K825" s="40"/>
      <c r="L825" s="21"/>
      <c r="M825" s="41"/>
      <c r="N825" s="42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</row>
    <row r="826" spans="1:27" ht="14.25" customHeight="1" x14ac:dyDescent="0.3">
      <c r="A826" s="27"/>
      <c r="B826" s="27"/>
      <c r="C826" s="27"/>
      <c r="D826" s="27"/>
      <c r="E826" s="27"/>
      <c r="F826" s="27"/>
      <c r="G826" s="27"/>
      <c r="H826" s="28"/>
      <c r="I826" s="29"/>
      <c r="J826" s="30"/>
      <c r="K826" s="47"/>
      <c r="L826" s="45"/>
      <c r="M826" s="48"/>
      <c r="N826" s="33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</row>
    <row r="827" spans="1:27" ht="14.25" customHeight="1" x14ac:dyDescent="0.3">
      <c r="A827" s="35"/>
      <c r="B827" s="35"/>
      <c r="C827" s="35"/>
      <c r="D827" s="35"/>
      <c r="E827" s="35"/>
      <c r="F827" s="35"/>
      <c r="G827" s="35"/>
      <c r="H827" s="37"/>
      <c r="I827" s="38"/>
      <c r="J827" s="39"/>
      <c r="K827" s="40"/>
      <c r="L827" s="21"/>
      <c r="M827" s="41"/>
      <c r="N827" s="42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</row>
    <row r="828" spans="1:27" ht="14.25" customHeight="1" x14ac:dyDescent="0.3">
      <c r="A828" s="27"/>
      <c r="B828" s="27"/>
      <c r="C828" s="27"/>
      <c r="D828" s="27"/>
      <c r="E828" s="27"/>
      <c r="F828" s="27"/>
      <c r="G828" s="27"/>
      <c r="H828" s="28"/>
      <c r="I828" s="29"/>
      <c r="J828" s="30"/>
      <c r="K828" s="47"/>
      <c r="L828" s="45"/>
      <c r="M828" s="48"/>
      <c r="N828" s="33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14.25" customHeight="1" x14ac:dyDescent="0.3">
      <c r="A829" s="35"/>
      <c r="B829" s="35"/>
      <c r="C829" s="35"/>
      <c r="D829" s="35"/>
      <c r="E829" s="35"/>
      <c r="F829" s="35"/>
      <c r="G829" s="35"/>
      <c r="H829" s="37"/>
      <c r="I829" s="38"/>
      <c r="J829" s="39"/>
      <c r="K829" s="40"/>
      <c r="L829" s="21"/>
      <c r="M829" s="41"/>
      <c r="N829" s="42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</row>
    <row r="830" spans="1:27" ht="14.25" customHeight="1" x14ac:dyDescent="0.3">
      <c r="A830" s="27"/>
      <c r="B830" s="27"/>
      <c r="C830" s="27"/>
      <c r="D830" s="27"/>
      <c r="E830" s="27"/>
      <c r="F830" s="27"/>
      <c r="G830" s="27"/>
      <c r="H830" s="28"/>
      <c r="I830" s="29"/>
      <c r="J830" s="30"/>
      <c r="K830" s="47"/>
      <c r="L830" s="45"/>
      <c r="M830" s="48"/>
      <c r="N830" s="33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14.25" customHeight="1" x14ac:dyDescent="0.3">
      <c r="A831" s="35"/>
      <c r="B831" s="35"/>
      <c r="C831" s="35"/>
      <c r="D831" s="35"/>
      <c r="E831" s="35"/>
      <c r="F831" s="35"/>
      <c r="G831" s="35"/>
      <c r="H831" s="37"/>
      <c r="I831" s="38"/>
      <c r="J831" s="39"/>
      <c r="K831" s="40"/>
      <c r="L831" s="21"/>
      <c r="M831" s="41"/>
      <c r="N831" s="42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</row>
    <row r="832" spans="1:27" ht="14.25" customHeight="1" x14ac:dyDescent="0.3">
      <c r="A832" s="27"/>
      <c r="B832" s="27"/>
      <c r="C832" s="27"/>
      <c r="D832" s="27"/>
      <c r="E832" s="27"/>
      <c r="F832" s="27"/>
      <c r="G832" s="27"/>
      <c r="H832" s="28"/>
      <c r="I832" s="29"/>
      <c r="J832" s="30"/>
      <c r="K832" s="47"/>
      <c r="L832" s="45"/>
      <c r="M832" s="48"/>
      <c r="N832" s="33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14.25" customHeight="1" x14ac:dyDescent="0.3">
      <c r="A833" s="35"/>
      <c r="B833" s="35"/>
      <c r="C833" s="35"/>
      <c r="D833" s="35"/>
      <c r="E833" s="35"/>
      <c r="F833" s="35"/>
      <c r="G833" s="35"/>
      <c r="H833" s="37"/>
      <c r="I833" s="38"/>
      <c r="J833" s="39"/>
      <c r="K833" s="40"/>
      <c r="L833" s="21"/>
      <c r="M833" s="41"/>
      <c r="N833" s="42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</row>
    <row r="834" spans="1:27" ht="14.25" customHeight="1" x14ac:dyDescent="0.3">
      <c r="A834" s="27"/>
      <c r="B834" s="27"/>
      <c r="C834" s="27"/>
      <c r="D834" s="27"/>
      <c r="E834" s="27"/>
      <c r="F834" s="27"/>
      <c r="G834" s="27"/>
      <c r="H834" s="28"/>
      <c r="I834" s="29"/>
      <c r="J834" s="30"/>
      <c r="K834" s="47"/>
      <c r="L834" s="45"/>
      <c r="M834" s="48"/>
      <c r="N834" s="33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4.25" customHeight="1" x14ac:dyDescent="0.3">
      <c r="A835" s="35"/>
      <c r="B835" s="35"/>
      <c r="C835" s="35"/>
      <c r="D835" s="35"/>
      <c r="E835" s="35"/>
      <c r="F835" s="35"/>
      <c r="G835" s="35"/>
      <c r="H835" s="37"/>
      <c r="I835" s="38"/>
      <c r="J835" s="39"/>
      <c r="K835" s="40"/>
      <c r="L835" s="21"/>
      <c r="M835" s="41"/>
      <c r="N835" s="42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</row>
    <row r="836" spans="1:27" ht="14.25" customHeight="1" x14ac:dyDescent="0.3">
      <c r="A836" s="27"/>
      <c r="B836" s="27"/>
      <c r="C836" s="27"/>
      <c r="D836" s="27"/>
      <c r="E836" s="27"/>
      <c r="F836" s="27"/>
      <c r="G836" s="27"/>
      <c r="H836" s="28"/>
      <c r="I836" s="29"/>
      <c r="J836" s="30"/>
      <c r="K836" s="47"/>
      <c r="L836" s="45"/>
      <c r="M836" s="48"/>
      <c r="N836" s="33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14.25" customHeight="1" x14ac:dyDescent="0.3">
      <c r="A837" s="35"/>
      <c r="B837" s="35"/>
      <c r="C837" s="35"/>
      <c r="D837" s="35"/>
      <c r="E837" s="35"/>
      <c r="F837" s="35"/>
      <c r="G837" s="35"/>
      <c r="H837" s="37"/>
      <c r="I837" s="38"/>
      <c r="J837" s="39"/>
      <c r="K837" s="40"/>
      <c r="L837" s="21"/>
      <c r="M837" s="41"/>
      <c r="N837" s="42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</row>
    <row r="838" spans="1:27" ht="14.25" customHeight="1" x14ac:dyDescent="0.3">
      <c r="A838" s="27"/>
      <c r="B838" s="27"/>
      <c r="C838" s="27"/>
      <c r="D838" s="27"/>
      <c r="E838" s="27"/>
      <c r="F838" s="27"/>
      <c r="G838" s="27"/>
      <c r="H838" s="28"/>
      <c r="I838" s="29"/>
      <c r="J838" s="30"/>
      <c r="K838" s="47"/>
      <c r="L838" s="45"/>
      <c r="M838" s="48"/>
      <c r="N838" s="33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14.25" customHeight="1" x14ac:dyDescent="0.3">
      <c r="A839" s="35"/>
      <c r="B839" s="35"/>
      <c r="C839" s="35"/>
      <c r="D839" s="35"/>
      <c r="E839" s="35"/>
      <c r="F839" s="35"/>
      <c r="G839" s="35"/>
      <c r="H839" s="37"/>
      <c r="I839" s="38"/>
      <c r="J839" s="39"/>
      <c r="K839" s="40"/>
      <c r="L839" s="21"/>
      <c r="M839" s="41"/>
      <c r="N839" s="42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</row>
    <row r="840" spans="1:27" ht="14.25" customHeight="1" x14ac:dyDescent="0.3">
      <c r="A840" s="27"/>
      <c r="B840" s="27"/>
      <c r="C840" s="27"/>
      <c r="D840" s="27"/>
      <c r="E840" s="27"/>
      <c r="F840" s="27"/>
      <c r="G840" s="27"/>
      <c r="H840" s="28"/>
      <c r="I840" s="29"/>
      <c r="J840" s="30"/>
      <c r="K840" s="47"/>
      <c r="L840" s="45"/>
      <c r="M840" s="48"/>
      <c r="N840" s="33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14.25" customHeight="1" x14ac:dyDescent="0.3">
      <c r="A841" s="35"/>
      <c r="B841" s="35"/>
      <c r="C841" s="35"/>
      <c r="D841" s="35"/>
      <c r="E841" s="35"/>
      <c r="F841" s="35"/>
      <c r="G841" s="35"/>
      <c r="H841" s="37"/>
      <c r="I841" s="38"/>
      <c r="J841" s="39"/>
      <c r="K841" s="40"/>
      <c r="L841" s="21"/>
      <c r="M841" s="41"/>
      <c r="N841" s="42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</row>
    <row r="842" spans="1:27" ht="14.25" customHeight="1" x14ac:dyDescent="0.3">
      <c r="A842" s="27"/>
      <c r="B842" s="27"/>
      <c r="C842" s="27"/>
      <c r="D842" s="27"/>
      <c r="E842" s="27"/>
      <c r="F842" s="27"/>
      <c r="G842" s="27"/>
      <c r="H842" s="28"/>
      <c r="I842" s="29"/>
      <c r="J842" s="30"/>
      <c r="K842" s="47"/>
      <c r="L842" s="45"/>
      <c r="M842" s="48"/>
      <c r="N842" s="33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14.25" customHeight="1" x14ac:dyDescent="0.3">
      <c r="A843" s="35"/>
      <c r="B843" s="35"/>
      <c r="C843" s="35"/>
      <c r="D843" s="35"/>
      <c r="E843" s="35"/>
      <c r="F843" s="35"/>
      <c r="G843" s="35"/>
      <c r="H843" s="37"/>
      <c r="I843" s="38"/>
      <c r="J843" s="39"/>
      <c r="K843" s="40"/>
      <c r="L843" s="21"/>
      <c r="M843" s="41"/>
      <c r="N843" s="42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</row>
    <row r="844" spans="1:27" ht="14.25" customHeight="1" x14ac:dyDescent="0.3">
      <c r="A844" s="27"/>
      <c r="B844" s="27"/>
      <c r="C844" s="27"/>
      <c r="D844" s="27"/>
      <c r="E844" s="27"/>
      <c r="F844" s="27"/>
      <c r="G844" s="27"/>
      <c r="H844" s="28"/>
      <c r="I844" s="29"/>
      <c r="J844" s="30"/>
      <c r="K844" s="47"/>
      <c r="L844" s="45"/>
      <c r="M844" s="48"/>
      <c r="N844" s="33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14.25" customHeight="1" x14ac:dyDescent="0.3">
      <c r="A845" s="35"/>
      <c r="B845" s="35"/>
      <c r="C845" s="35"/>
      <c r="D845" s="35"/>
      <c r="E845" s="35"/>
      <c r="F845" s="35"/>
      <c r="G845" s="35"/>
      <c r="H845" s="37"/>
      <c r="I845" s="38"/>
      <c r="J845" s="39"/>
      <c r="K845" s="40"/>
      <c r="L845" s="21"/>
      <c r="M845" s="41"/>
      <c r="N845" s="42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</row>
    <row r="846" spans="1:27" ht="14.25" customHeight="1" x14ac:dyDescent="0.3">
      <c r="A846" s="27"/>
      <c r="B846" s="27"/>
      <c r="C846" s="27"/>
      <c r="D846" s="27"/>
      <c r="E846" s="27"/>
      <c r="F846" s="27"/>
      <c r="G846" s="27"/>
      <c r="H846" s="28"/>
      <c r="I846" s="29"/>
      <c r="J846" s="30"/>
      <c r="K846" s="47"/>
      <c r="L846" s="45"/>
      <c r="M846" s="48"/>
      <c r="N846" s="33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14.25" customHeight="1" x14ac:dyDescent="0.3">
      <c r="A847" s="35"/>
      <c r="B847" s="35"/>
      <c r="C847" s="35"/>
      <c r="D847" s="35"/>
      <c r="E847" s="35"/>
      <c r="F847" s="35"/>
      <c r="G847" s="35"/>
      <c r="H847" s="37"/>
      <c r="I847" s="38"/>
      <c r="J847" s="39"/>
      <c r="K847" s="40"/>
      <c r="L847" s="21"/>
      <c r="M847" s="41"/>
      <c r="N847" s="42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</row>
    <row r="848" spans="1:27" ht="14.25" customHeight="1" x14ac:dyDescent="0.3">
      <c r="A848" s="27"/>
      <c r="B848" s="27"/>
      <c r="C848" s="27"/>
      <c r="D848" s="27"/>
      <c r="E848" s="27"/>
      <c r="F848" s="27"/>
      <c r="G848" s="27"/>
      <c r="H848" s="28"/>
      <c r="I848" s="29"/>
      <c r="J848" s="30"/>
      <c r="K848" s="47"/>
      <c r="L848" s="45"/>
      <c r="M848" s="48"/>
      <c r="N848" s="33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14.25" customHeight="1" x14ac:dyDescent="0.3">
      <c r="A849" s="35"/>
      <c r="B849" s="35"/>
      <c r="C849" s="35"/>
      <c r="D849" s="35"/>
      <c r="E849" s="35"/>
      <c r="F849" s="35"/>
      <c r="G849" s="35"/>
      <c r="H849" s="37"/>
      <c r="I849" s="38"/>
      <c r="J849" s="39"/>
      <c r="K849" s="40"/>
      <c r="L849" s="21"/>
      <c r="M849" s="41"/>
      <c r="N849" s="42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</row>
    <row r="850" spans="1:27" ht="14.25" customHeight="1" x14ac:dyDescent="0.3">
      <c r="A850" s="27"/>
      <c r="B850" s="27"/>
      <c r="C850" s="27"/>
      <c r="D850" s="27"/>
      <c r="E850" s="27"/>
      <c r="F850" s="27"/>
      <c r="G850" s="27"/>
      <c r="H850" s="28"/>
      <c r="I850" s="29"/>
      <c r="J850" s="30"/>
      <c r="K850" s="47"/>
      <c r="L850" s="45"/>
      <c r="M850" s="48"/>
      <c r="N850" s="33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4.25" customHeight="1" x14ac:dyDescent="0.3">
      <c r="A851" s="35"/>
      <c r="B851" s="35"/>
      <c r="C851" s="35"/>
      <c r="D851" s="35"/>
      <c r="E851" s="35"/>
      <c r="F851" s="35"/>
      <c r="G851" s="35"/>
      <c r="H851" s="37"/>
      <c r="I851" s="38"/>
      <c r="J851" s="39"/>
      <c r="K851" s="40"/>
      <c r="L851" s="21"/>
      <c r="M851" s="41"/>
      <c r="N851" s="42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</row>
    <row r="852" spans="1:27" ht="14.25" customHeight="1" x14ac:dyDescent="0.3">
      <c r="A852" s="27"/>
      <c r="B852" s="27"/>
      <c r="C852" s="27"/>
      <c r="D852" s="27"/>
      <c r="E852" s="27"/>
      <c r="F852" s="27"/>
      <c r="G852" s="27"/>
      <c r="H852" s="28"/>
      <c r="I852" s="29"/>
      <c r="J852" s="30"/>
      <c r="K852" s="47"/>
      <c r="L852" s="45"/>
      <c r="M852" s="48"/>
      <c r="N852" s="33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</row>
    <row r="853" spans="1:27" ht="14.25" customHeight="1" x14ac:dyDescent="0.3">
      <c r="A853" s="35"/>
      <c r="B853" s="35"/>
      <c r="C853" s="35"/>
      <c r="D853" s="35"/>
      <c r="E853" s="35"/>
      <c r="F853" s="35"/>
      <c r="G853" s="35"/>
      <c r="H853" s="37"/>
      <c r="I853" s="38"/>
      <c r="J853" s="39"/>
      <c r="K853" s="40"/>
      <c r="L853" s="21"/>
      <c r="M853" s="41"/>
      <c r="N853" s="42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</row>
    <row r="854" spans="1:27" ht="14.25" customHeight="1" x14ac:dyDescent="0.3">
      <c r="A854" s="27"/>
      <c r="B854" s="27"/>
      <c r="C854" s="27"/>
      <c r="D854" s="27"/>
      <c r="E854" s="27"/>
      <c r="F854" s="27"/>
      <c r="G854" s="27"/>
      <c r="H854" s="28"/>
      <c r="I854" s="29"/>
      <c r="J854" s="30"/>
      <c r="K854" s="47"/>
      <c r="L854" s="45"/>
      <c r="M854" s="48"/>
      <c r="N854" s="33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14.25" customHeight="1" x14ac:dyDescent="0.3">
      <c r="A855" s="35"/>
      <c r="B855" s="35"/>
      <c r="C855" s="35"/>
      <c r="D855" s="35"/>
      <c r="E855" s="35"/>
      <c r="F855" s="35"/>
      <c r="G855" s="35"/>
      <c r="H855" s="37"/>
      <c r="I855" s="38"/>
      <c r="J855" s="39"/>
      <c r="K855" s="40"/>
      <c r="L855" s="21"/>
      <c r="M855" s="41"/>
      <c r="N855" s="42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</row>
    <row r="856" spans="1:27" ht="14.25" customHeight="1" x14ac:dyDescent="0.3">
      <c r="A856" s="27"/>
      <c r="B856" s="27"/>
      <c r="C856" s="27"/>
      <c r="D856" s="27"/>
      <c r="E856" s="27"/>
      <c r="F856" s="27"/>
      <c r="G856" s="27"/>
      <c r="H856" s="28"/>
      <c r="I856" s="29"/>
      <c r="J856" s="30"/>
      <c r="K856" s="47"/>
      <c r="L856" s="45"/>
      <c r="M856" s="48"/>
      <c r="N856" s="33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</row>
    <row r="857" spans="1:27" ht="14.25" customHeight="1" x14ac:dyDescent="0.3">
      <c r="A857" s="35"/>
      <c r="B857" s="35"/>
      <c r="C857" s="35"/>
      <c r="D857" s="35"/>
      <c r="E857" s="35"/>
      <c r="F857" s="35"/>
      <c r="G857" s="35"/>
      <c r="H857" s="37"/>
      <c r="I857" s="38"/>
      <c r="J857" s="39"/>
      <c r="K857" s="40"/>
      <c r="L857" s="21"/>
      <c r="M857" s="41"/>
      <c r="N857" s="42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</row>
    <row r="858" spans="1:27" ht="14.25" customHeight="1" x14ac:dyDescent="0.3">
      <c r="A858" s="27"/>
      <c r="B858" s="27"/>
      <c r="C858" s="27"/>
      <c r="D858" s="27"/>
      <c r="E858" s="27"/>
      <c r="F858" s="27"/>
      <c r="G858" s="27"/>
      <c r="H858" s="28"/>
      <c r="I858" s="29"/>
      <c r="J858" s="30"/>
      <c r="K858" s="47"/>
      <c r="L858" s="45"/>
      <c r="M858" s="48"/>
      <c r="N858" s="33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4.25" customHeight="1" x14ac:dyDescent="0.3">
      <c r="A859" s="35"/>
      <c r="B859" s="35"/>
      <c r="C859" s="35"/>
      <c r="D859" s="35"/>
      <c r="E859" s="35"/>
      <c r="F859" s="35"/>
      <c r="G859" s="35"/>
      <c r="H859" s="37"/>
      <c r="I859" s="38"/>
      <c r="J859" s="39"/>
      <c r="K859" s="40"/>
      <c r="L859" s="21"/>
      <c r="M859" s="41"/>
      <c r="N859" s="42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</row>
    <row r="860" spans="1:27" ht="14.25" customHeight="1" x14ac:dyDescent="0.3">
      <c r="A860" s="27"/>
      <c r="B860" s="27"/>
      <c r="C860" s="27"/>
      <c r="D860" s="27"/>
      <c r="E860" s="27"/>
      <c r="F860" s="27"/>
      <c r="G860" s="27"/>
      <c r="H860" s="28"/>
      <c r="I860" s="29"/>
      <c r="J860" s="30"/>
      <c r="K860" s="47"/>
      <c r="L860" s="45"/>
      <c r="M860" s="48"/>
      <c r="N860" s="33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</row>
    <row r="861" spans="1:27" ht="14.25" customHeight="1" x14ac:dyDescent="0.3">
      <c r="A861" s="35"/>
      <c r="B861" s="35"/>
      <c r="C861" s="35"/>
      <c r="D861" s="35"/>
      <c r="E861" s="35"/>
      <c r="F861" s="35"/>
      <c r="G861" s="35"/>
      <c r="H861" s="37"/>
      <c r="I861" s="38"/>
      <c r="J861" s="39"/>
      <c r="K861" s="40"/>
      <c r="L861" s="21"/>
      <c r="M861" s="41"/>
      <c r="N861" s="42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</row>
    <row r="862" spans="1:27" ht="14.25" customHeight="1" x14ac:dyDescent="0.3">
      <c r="A862" s="27"/>
      <c r="B862" s="27"/>
      <c r="C862" s="27"/>
      <c r="D862" s="27"/>
      <c r="E862" s="27"/>
      <c r="F862" s="27"/>
      <c r="G862" s="27"/>
      <c r="H862" s="28"/>
      <c r="I862" s="29"/>
      <c r="J862" s="30"/>
      <c r="K862" s="47"/>
      <c r="L862" s="45"/>
      <c r="M862" s="48"/>
      <c r="N862" s="33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</row>
    <row r="863" spans="1:27" ht="14.25" customHeight="1" x14ac:dyDescent="0.3">
      <c r="A863" s="35"/>
      <c r="B863" s="35"/>
      <c r="C863" s="35"/>
      <c r="D863" s="35"/>
      <c r="E863" s="35"/>
      <c r="F863" s="35"/>
      <c r="G863" s="35"/>
      <c r="H863" s="37"/>
      <c r="I863" s="38"/>
      <c r="J863" s="39"/>
      <c r="K863" s="40"/>
      <c r="L863" s="21"/>
      <c r="M863" s="41"/>
      <c r="N863" s="42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</row>
    <row r="864" spans="1:27" ht="14.25" customHeight="1" x14ac:dyDescent="0.3">
      <c r="A864" s="27"/>
      <c r="B864" s="27"/>
      <c r="C864" s="27"/>
      <c r="D864" s="27"/>
      <c r="E864" s="27"/>
      <c r="F864" s="27"/>
      <c r="G864" s="27"/>
      <c r="H864" s="28"/>
      <c r="I864" s="29"/>
      <c r="J864" s="30"/>
      <c r="K864" s="47"/>
      <c r="L864" s="45"/>
      <c r="M864" s="48"/>
      <c r="N864" s="33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</row>
    <row r="865" spans="1:27" ht="14.25" customHeight="1" x14ac:dyDescent="0.3">
      <c r="A865" s="35"/>
      <c r="B865" s="35"/>
      <c r="C865" s="35"/>
      <c r="D865" s="35"/>
      <c r="E865" s="35"/>
      <c r="F865" s="35"/>
      <c r="G865" s="35"/>
      <c r="H865" s="37"/>
      <c r="I865" s="38"/>
      <c r="J865" s="39"/>
      <c r="K865" s="40"/>
      <c r="L865" s="21"/>
      <c r="M865" s="41"/>
      <c r="N865" s="42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</row>
    <row r="866" spans="1:27" ht="14.25" customHeight="1" x14ac:dyDescent="0.3">
      <c r="A866" s="27"/>
      <c r="B866" s="27"/>
      <c r="C866" s="27"/>
      <c r="D866" s="27"/>
      <c r="E866" s="27"/>
      <c r="F866" s="27"/>
      <c r="G866" s="27"/>
      <c r="H866" s="28"/>
      <c r="I866" s="29"/>
      <c r="J866" s="30"/>
      <c r="K866" s="47"/>
      <c r="L866" s="45"/>
      <c r="M866" s="48"/>
      <c r="N866" s="33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14.25" customHeight="1" x14ac:dyDescent="0.3">
      <c r="A867" s="35"/>
      <c r="B867" s="35"/>
      <c r="C867" s="35"/>
      <c r="D867" s="35"/>
      <c r="E867" s="35"/>
      <c r="F867" s="35"/>
      <c r="G867" s="35"/>
      <c r="H867" s="37"/>
      <c r="I867" s="38"/>
      <c r="J867" s="39"/>
      <c r="K867" s="40"/>
      <c r="L867" s="21"/>
      <c r="M867" s="41"/>
      <c r="N867" s="42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</row>
    <row r="868" spans="1:27" ht="14.25" customHeight="1" x14ac:dyDescent="0.3">
      <c r="A868" s="27"/>
      <c r="B868" s="27"/>
      <c r="C868" s="27"/>
      <c r="D868" s="27"/>
      <c r="E868" s="27"/>
      <c r="F868" s="27"/>
      <c r="G868" s="27"/>
      <c r="H868" s="28"/>
      <c r="I868" s="29"/>
      <c r="J868" s="30"/>
      <c r="K868" s="47"/>
      <c r="L868" s="45"/>
      <c r="M868" s="48"/>
      <c r="N868" s="33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</row>
    <row r="869" spans="1:27" ht="14.25" customHeight="1" x14ac:dyDescent="0.3">
      <c r="A869" s="35"/>
      <c r="B869" s="35"/>
      <c r="C869" s="35"/>
      <c r="D869" s="35"/>
      <c r="E869" s="35"/>
      <c r="F869" s="35"/>
      <c r="G869" s="35"/>
      <c r="H869" s="37"/>
      <c r="I869" s="38"/>
      <c r="J869" s="39"/>
      <c r="K869" s="40"/>
      <c r="L869" s="21"/>
      <c r="M869" s="41"/>
      <c r="N869" s="42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</row>
    <row r="870" spans="1:27" ht="14.25" customHeight="1" x14ac:dyDescent="0.3">
      <c r="A870" s="27"/>
      <c r="B870" s="27"/>
      <c r="C870" s="27"/>
      <c r="D870" s="27"/>
      <c r="E870" s="27"/>
      <c r="F870" s="27"/>
      <c r="G870" s="27"/>
      <c r="H870" s="28"/>
      <c r="I870" s="29"/>
      <c r="J870" s="30"/>
      <c r="K870" s="47"/>
      <c r="L870" s="45"/>
      <c r="M870" s="48"/>
      <c r="N870" s="33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14.25" customHeight="1" x14ac:dyDescent="0.3">
      <c r="A871" s="35"/>
      <c r="B871" s="35"/>
      <c r="C871" s="35"/>
      <c r="D871" s="35"/>
      <c r="E871" s="35"/>
      <c r="F871" s="35"/>
      <c r="G871" s="35"/>
      <c r="H871" s="37"/>
      <c r="I871" s="38"/>
      <c r="J871" s="39"/>
      <c r="K871" s="40"/>
      <c r="L871" s="21"/>
      <c r="M871" s="41"/>
      <c r="N871" s="42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</row>
    <row r="872" spans="1:27" ht="14.25" customHeight="1" x14ac:dyDescent="0.3">
      <c r="A872" s="27"/>
      <c r="B872" s="27"/>
      <c r="C872" s="27"/>
      <c r="D872" s="27"/>
      <c r="E872" s="27"/>
      <c r="F872" s="27"/>
      <c r="G872" s="27"/>
      <c r="H872" s="28"/>
      <c r="I872" s="29"/>
      <c r="J872" s="30"/>
      <c r="K872" s="47"/>
      <c r="L872" s="45"/>
      <c r="M872" s="48"/>
      <c r="N872" s="33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14.25" customHeight="1" x14ac:dyDescent="0.3">
      <c r="A873" s="35"/>
      <c r="B873" s="35"/>
      <c r="C873" s="35"/>
      <c r="D873" s="35"/>
      <c r="E873" s="35"/>
      <c r="F873" s="35"/>
      <c r="G873" s="35"/>
      <c r="H873" s="37"/>
      <c r="I873" s="38"/>
      <c r="J873" s="39"/>
      <c r="K873" s="40"/>
      <c r="L873" s="21"/>
      <c r="M873" s="41"/>
      <c r="N873" s="42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</row>
    <row r="874" spans="1:27" ht="14.25" customHeight="1" x14ac:dyDescent="0.3">
      <c r="A874" s="27"/>
      <c r="B874" s="27"/>
      <c r="C874" s="27"/>
      <c r="D874" s="27"/>
      <c r="E874" s="27"/>
      <c r="F874" s="27"/>
      <c r="G874" s="27"/>
      <c r="H874" s="28"/>
      <c r="I874" s="29"/>
      <c r="J874" s="30"/>
      <c r="K874" s="47"/>
      <c r="L874" s="45"/>
      <c r="M874" s="48"/>
      <c r="N874" s="33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</row>
    <row r="875" spans="1:27" ht="14.25" customHeight="1" x14ac:dyDescent="0.3">
      <c r="A875" s="35"/>
      <c r="B875" s="35"/>
      <c r="C875" s="35"/>
      <c r="D875" s="35"/>
      <c r="E875" s="35"/>
      <c r="F875" s="35"/>
      <c r="G875" s="35"/>
      <c r="H875" s="37"/>
      <c r="I875" s="38"/>
      <c r="J875" s="39"/>
      <c r="K875" s="40"/>
      <c r="L875" s="21"/>
      <c r="M875" s="41"/>
      <c r="N875" s="42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</row>
    <row r="876" spans="1:27" ht="14.25" customHeight="1" x14ac:dyDescent="0.3">
      <c r="A876" s="27"/>
      <c r="B876" s="27"/>
      <c r="C876" s="27"/>
      <c r="D876" s="27"/>
      <c r="E876" s="27"/>
      <c r="F876" s="27"/>
      <c r="G876" s="27"/>
      <c r="H876" s="28"/>
      <c r="I876" s="29"/>
      <c r="J876" s="30"/>
      <c r="K876" s="47"/>
      <c r="L876" s="45"/>
      <c r="M876" s="48"/>
      <c r="N876" s="33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</row>
    <row r="877" spans="1:27" ht="14.25" customHeight="1" x14ac:dyDescent="0.3">
      <c r="A877" s="35"/>
      <c r="B877" s="35"/>
      <c r="C877" s="35"/>
      <c r="D877" s="35"/>
      <c r="E877" s="35"/>
      <c r="F877" s="35"/>
      <c r="G877" s="35"/>
      <c r="H877" s="37"/>
      <c r="I877" s="38"/>
      <c r="J877" s="39"/>
      <c r="K877" s="40"/>
      <c r="L877" s="21"/>
      <c r="M877" s="41"/>
      <c r="N877" s="42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</row>
    <row r="878" spans="1:27" ht="14.25" customHeight="1" x14ac:dyDescent="0.3">
      <c r="A878" s="27"/>
      <c r="B878" s="27"/>
      <c r="C878" s="27"/>
      <c r="D878" s="27"/>
      <c r="E878" s="27"/>
      <c r="F878" s="27"/>
      <c r="G878" s="27"/>
      <c r="H878" s="28"/>
      <c r="I878" s="29"/>
      <c r="J878" s="30"/>
      <c r="K878" s="47"/>
      <c r="L878" s="45"/>
      <c r="M878" s="48"/>
      <c r="N878" s="33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14.25" customHeight="1" x14ac:dyDescent="0.3">
      <c r="A879" s="35"/>
      <c r="B879" s="35"/>
      <c r="C879" s="35"/>
      <c r="D879" s="35"/>
      <c r="E879" s="35"/>
      <c r="F879" s="35"/>
      <c r="G879" s="35"/>
      <c r="H879" s="37"/>
      <c r="I879" s="38"/>
      <c r="J879" s="39"/>
      <c r="K879" s="40"/>
      <c r="L879" s="21"/>
      <c r="M879" s="41"/>
      <c r="N879" s="42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</row>
    <row r="880" spans="1:27" ht="14.25" customHeight="1" x14ac:dyDescent="0.3">
      <c r="A880" s="27"/>
      <c r="B880" s="27"/>
      <c r="C880" s="27"/>
      <c r="D880" s="27"/>
      <c r="E880" s="27"/>
      <c r="F880" s="27"/>
      <c r="G880" s="27"/>
      <c r="H880" s="28"/>
      <c r="I880" s="29"/>
      <c r="J880" s="30"/>
      <c r="K880" s="47"/>
      <c r="L880" s="45"/>
      <c r="M880" s="48"/>
      <c r="N880" s="33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</row>
    <row r="881" spans="1:27" ht="14.25" customHeight="1" x14ac:dyDescent="0.3">
      <c r="A881" s="35"/>
      <c r="B881" s="35"/>
      <c r="C881" s="35"/>
      <c r="D881" s="35"/>
      <c r="E881" s="35"/>
      <c r="F881" s="35"/>
      <c r="G881" s="35"/>
      <c r="H881" s="37"/>
      <c r="I881" s="38"/>
      <c r="J881" s="39"/>
      <c r="K881" s="40"/>
      <c r="L881" s="21"/>
      <c r="M881" s="41"/>
      <c r="N881" s="42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</row>
    <row r="882" spans="1:27" ht="14.25" customHeight="1" x14ac:dyDescent="0.3">
      <c r="A882" s="27"/>
      <c r="B882" s="27"/>
      <c r="C882" s="27"/>
      <c r="D882" s="27"/>
      <c r="E882" s="27"/>
      <c r="F882" s="27"/>
      <c r="G882" s="27"/>
      <c r="H882" s="28"/>
      <c r="I882" s="29"/>
      <c r="J882" s="30"/>
      <c r="K882" s="47"/>
      <c r="L882" s="45"/>
      <c r="M882" s="48"/>
      <c r="N882" s="33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14.25" customHeight="1" x14ac:dyDescent="0.3">
      <c r="A883" s="35"/>
      <c r="B883" s="35"/>
      <c r="C883" s="35"/>
      <c r="D883" s="35"/>
      <c r="E883" s="35"/>
      <c r="F883" s="35"/>
      <c r="G883" s="35"/>
      <c r="H883" s="37"/>
      <c r="I883" s="38"/>
      <c r="J883" s="39"/>
      <c r="K883" s="40"/>
      <c r="L883" s="21"/>
      <c r="M883" s="41"/>
      <c r="N883" s="42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</row>
    <row r="884" spans="1:27" ht="14.25" customHeight="1" x14ac:dyDescent="0.3">
      <c r="A884" s="27"/>
      <c r="B884" s="27"/>
      <c r="C884" s="27"/>
      <c r="D884" s="27"/>
      <c r="E884" s="27"/>
      <c r="F884" s="27"/>
      <c r="G884" s="27"/>
      <c r="H884" s="28"/>
      <c r="I884" s="29"/>
      <c r="J884" s="30"/>
      <c r="K884" s="47"/>
      <c r="L884" s="45"/>
      <c r="M884" s="48"/>
      <c r="N884" s="33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</row>
    <row r="885" spans="1:27" ht="14.25" customHeight="1" x14ac:dyDescent="0.3">
      <c r="A885" s="35"/>
      <c r="B885" s="35"/>
      <c r="C885" s="35"/>
      <c r="D885" s="35"/>
      <c r="E885" s="35"/>
      <c r="F885" s="35"/>
      <c r="G885" s="35"/>
      <c r="H885" s="37"/>
      <c r="I885" s="38"/>
      <c r="J885" s="39"/>
      <c r="K885" s="40"/>
      <c r="L885" s="21"/>
      <c r="M885" s="41"/>
      <c r="N885" s="42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</row>
    <row r="886" spans="1:27" ht="14.25" customHeight="1" x14ac:dyDescent="0.3">
      <c r="A886" s="27"/>
      <c r="B886" s="27"/>
      <c r="C886" s="27"/>
      <c r="D886" s="27"/>
      <c r="E886" s="27"/>
      <c r="F886" s="27"/>
      <c r="G886" s="27"/>
      <c r="H886" s="28"/>
      <c r="I886" s="29"/>
      <c r="J886" s="30"/>
      <c r="K886" s="47"/>
      <c r="L886" s="45"/>
      <c r="M886" s="48"/>
      <c r="N886" s="33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</row>
    <row r="887" spans="1:27" ht="14.25" customHeight="1" x14ac:dyDescent="0.3">
      <c r="A887" s="35"/>
      <c r="B887" s="35"/>
      <c r="C887" s="35"/>
      <c r="D887" s="35"/>
      <c r="E887" s="35"/>
      <c r="F887" s="35"/>
      <c r="G887" s="35"/>
      <c r="H887" s="37"/>
      <c r="I887" s="38"/>
      <c r="J887" s="39"/>
      <c r="K887" s="40"/>
      <c r="L887" s="21"/>
      <c r="M887" s="41"/>
      <c r="N887" s="42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</row>
    <row r="888" spans="1:27" ht="14.25" customHeight="1" x14ac:dyDescent="0.3">
      <c r="A888" s="27"/>
      <c r="B888" s="27"/>
      <c r="C888" s="27"/>
      <c r="D888" s="27"/>
      <c r="E888" s="27"/>
      <c r="F888" s="27"/>
      <c r="G888" s="27"/>
      <c r="H888" s="28"/>
      <c r="I888" s="29"/>
      <c r="J888" s="30"/>
      <c r="K888" s="47"/>
      <c r="L888" s="45"/>
      <c r="M888" s="48"/>
      <c r="N888" s="33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14.25" customHeight="1" x14ac:dyDescent="0.3">
      <c r="A889" s="35"/>
      <c r="B889" s="35"/>
      <c r="C889" s="35"/>
      <c r="D889" s="35"/>
      <c r="E889" s="35"/>
      <c r="F889" s="35"/>
      <c r="G889" s="35"/>
      <c r="H889" s="37"/>
      <c r="I889" s="38"/>
      <c r="J889" s="39"/>
      <c r="K889" s="40"/>
      <c r="L889" s="21"/>
      <c r="M889" s="41"/>
      <c r="N889" s="42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</row>
    <row r="890" spans="1:27" ht="14.25" customHeight="1" x14ac:dyDescent="0.3">
      <c r="A890" s="27"/>
      <c r="B890" s="27"/>
      <c r="C890" s="27"/>
      <c r="D890" s="27"/>
      <c r="E890" s="27"/>
      <c r="F890" s="27"/>
      <c r="G890" s="27"/>
      <c r="H890" s="28"/>
      <c r="I890" s="29"/>
      <c r="J890" s="30"/>
      <c r="K890" s="47"/>
      <c r="L890" s="45"/>
      <c r="M890" s="48"/>
      <c r="N890" s="33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14.25" customHeight="1" x14ac:dyDescent="0.3">
      <c r="A891" s="35"/>
      <c r="B891" s="35"/>
      <c r="C891" s="35"/>
      <c r="D891" s="35"/>
      <c r="E891" s="35"/>
      <c r="F891" s="35"/>
      <c r="G891" s="35"/>
      <c r="H891" s="37"/>
      <c r="I891" s="38"/>
      <c r="J891" s="39"/>
      <c r="K891" s="40"/>
      <c r="L891" s="21"/>
      <c r="M891" s="41"/>
      <c r="N891" s="42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</row>
    <row r="892" spans="1:27" ht="14.25" customHeight="1" x14ac:dyDescent="0.3">
      <c r="A892" s="27"/>
      <c r="B892" s="27"/>
      <c r="C892" s="27"/>
      <c r="D892" s="27"/>
      <c r="E892" s="27"/>
      <c r="F892" s="27"/>
      <c r="G892" s="27"/>
      <c r="H892" s="28"/>
      <c r="I892" s="29"/>
      <c r="J892" s="30"/>
      <c r="K892" s="47"/>
      <c r="L892" s="45"/>
      <c r="M892" s="48"/>
      <c r="N892" s="33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14.25" customHeight="1" x14ac:dyDescent="0.3">
      <c r="A893" s="35"/>
      <c r="B893" s="35"/>
      <c r="C893" s="35"/>
      <c r="D893" s="35"/>
      <c r="E893" s="35"/>
      <c r="F893" s="35"/>
      <c r="G893" s="35"/>
      <c r="H893" s="37"/>
      <c r="I893" s="38"/>
      <c r="J893" s="39"/>
      <c r="K893" s="40"/>
      <c r="L893" s="21"/>
      <c r="M893" s="41"/>
      <c r="N893" s="42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</row>
    <row r="894" spans="1:27" ht="14.25" customHeight="1" x14ac:dyDescent="0.3">
      <c r="A894" s="27"/>
      <c r="B894" s="27"/>
      <c r="C894" s="27"/>
      <c r="D894" s="27"/>
      <c r="E894" s="27"/>
      <c r="F894" s="27"/>
      <c r="G894" s="27"/>
      <c r="H894" s="28"/>
      <c r="I894" s="29"/>
      <c r="J894" s="30"/>
      <c r="K894" s="47"/>
      <c r="L894" s="45"/>
      <c r="M894" s="48"/>
      <c r="N894" s="33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14.25" customHeight="1" x14ac:dyDescent="0.3">
      <c r="A895" s="35"/>
      <c r="B895" s="35"/>
      <c r="C895" s="35"/>
      <c r="D895" s="35"/>
      <c r="E895" s="35"/>
      <c r="F895" s="35"/>
      <c r="G895" s="35"/>
      <c r="H895" s="37"/>
      <c r="I895" s="38"/>
      <c r="J895" s="39"/>
      <c r="K895" s="40"/>
      <c r="L895" s="21"/>
      <c r="M895" s="41"/>
      <c r="N895" s="42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</row>
    <row r="896" spans="1:27" ht="14.25" customHeight="1" x14ac:dyDescent="0.3">
      <c r="A896" s="27"/>
      <c r="B896" s="27"/>
      <c r="C896" s="27"/>
      <c r="D896" s="27"/>
      <c r="E896" s="27"/>
      <c r="F896" s="27"/>
      <c r="G896" s="27"/>
      <c r="H896" s="28"/>
      <c r="I896" s="29"/>
      <c r="J896" s="30"/>
      <c r="K896" s="47"/>
      <c r="L896" s="45"/>
      <c r="M896" s="48"/>
      <c r="N896" s="33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14.25" customHeight="1" x14ac:dyDescent="0.3">
      <c r="A897" s="35"/>
      <c r="B897" s="35"/>
      <c r="C897" s="35"/>
      <c r="D897" s="35"/>
      <c r="E897" s="35"/>
      <c r="F897" s="35"/>
      <c r="G897" s="35"/>
      <c r="H897" s="37"/>
      <c r="I897" s="38"/>
      <c r="J897" s="39"/>
      <c r="K897" s="40"/>
      <c r="L897" s="21"/>
      <c r="M897" s="41"/>
      <c r="N897" s="42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</row>
    <row r="898" spans="1:27" ht="14.25" customHeight="1" x14ac:dyDescent="0.3">
      <c r="A898" s="27"/>
      <c r="B898" s="27"/>
      <c r="C898" s="27"/>
      <c r="D898" s="27"/>
      <c r="E898" s="27"/>
      <c r="F898" s="27"/>
      <c r="G898" s="27"/>
      <c r="H898" s="28"/>
      <c r="I898" s="29"/>
      <c r="J898" s="30"/>
      <c r="K898" s="47"/>
      <c r="L898" s="45"/>
      <c r="M898" s="48"/>
      <c r="N898" s="33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</row>
    <row r="899" spans="1:27" ht="14.25" customHeight="1" x14ac:dyDescent="0.3">
      <c r="A899" s="35"/>
      <c r="B899" s="35"/>
      <c r="C899" s="35"/>
      <c r="D899" s="35"/>
      <c r="E899" s="35"/>
      <c r="F899" s="35"/>
      <c r="G899" s="35"/>
      <c r="H899" s="37"/>
      <c r="I899" s="38"/>
      <c r="J899" s="39"/>
      <c r="K899" s="40"/>
      <c r="L899" s="21"/>
      <c r="M899" s="41"/>
      <c r="N899" s="42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</row>
    <row r="900" spans="1:27" ht="14.25" customHeight="1" x14ac:dyDescent="0.3">
      <c r="A900" s="27"/>
      <c r="B900" s="27"/>
      <c r="C900" s="27"/>
      <c r="D900" s="27"/>
      <c r="E900" s="27"/>
      <c r="F900" s="27"/>
      <c r="G900" s="27"/>
      <c r="H900" s="28"/>
      <c r="I900" s="29"/>
      <c r="J900" s="30"/>
      <c r="K900" s="47"/>
      <c r="L900" s="45"/>
      <c r="M900" s="48"/>
      <c r="N900" s="33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</row>
    <row r="901" spans="1:27" ht="14.25" customHeight="1" x14ac:dyDescent="0.3">
      <c r="A901" s="35"/>
      <c r="B901" s="35"/>
      <c r="C901" s="35"/>
      <c r="D901" s="35"/>
      <c r="E901" s="35"/>
      <c r="F901" s="35"/>
      <c r="G901" s="35"/>
      <c r="H901" s="37"/>
      <c r="I901" s="38"/>
      <c r="J901" s="39"/>
      <c r="K901" s="40"/>
      <c r="L901" s="21"/>
      <c r="M901" s="41"/>
      <c r="N901" s="42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</row>
    <row r="902" spans="1:27" ht="14.25" customHeight="1" x14ac:dyDescent="0.3">
      <c r="A902" s="27"/>
      <c r="B902" s="27"/>
      <c r="C902" s="27"/>
      <c r="D902" s="27"/>
      <c r="E902" s="27"/>
      <c r="F902" s="27"/>
      <c r="G902" s="27"/>
      <c r="H902" s="28"/>
      <c r="I902" s="29"/>
      <c r="J902" s="30"/>
      <c r="K902" s="47"/>
      <c r="L902" s="45"/>
      <c r="M902" s="48"/>
      <c r="N902" s="33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14.25" customHeight="1" x14ac:dyDescent="0.3">
      <c r="A903" s="35"/>
      <c r="B903" s="35"/>
      <c r="C903" s="35"/>
      <c r="D903" s="35"/>
      <c r="E903" s="35"/>
      <c r="F903" s="35"/>
      <c r="G903" s="35"/>
      <c r="H903" s="37"/>
      <c r="I903" s="38"/>
      <c r="J903" s="39"/>
      <c r="K903" s="40"/>
      <c r="L903" s="21"/>
      <c r="M903" s="41"/>
      <c r="N903" s="42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</row>
    <row r="904" spans="1:27" ht="14.25" customHeight="1" x14ac:dyDescent="0.3">
      <c r="A904" s="27"/>
      <c r="B904" s="27"/>
      <c r="C904" s="27"/>
      <c r="D904" s="27"/>
      <c r="E904" s="27"/>
      <c r="F904" s="27"/>
      <c r="G904" s="27"/>
      <c r="H904" s="28"/>
      <c r="I904" s="29"/>
      <c r="J904" s="30"/>
      <c r="K904" s="47"/>
      <c r="L904" s="45"/>
      <c r="M904" s="48"/>
      <c r="N904" s="33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</row>
    <row r="905" spans="1:27" ht="14.25" customHeight="1" x14ac:dyDescent="0.3">
      <c r="A905" s="35"/>
      <c r="B905" s="35"/>
      <c r="C905" s="35"/>
      <c r="D905" s="35"/>
      <c r="E905" s="35"/>
      <c r="F905" s="35"/>
      <c r="G905" s="35"/>
      <c r="H905" s="37"/>
      <c r="I905" s="38"/>
      <c r="J905" s="39"/>
      <c r="K905" s="40"/>
      <c r="L905" s="21"/>
      <c r="M905" s="41"/>
      <c r="N905" s="42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</row>
    <row r="906" spans="1:27" ht="14.25" customHeight="1" x14ac:dyDescent="0.3">
      <c r="A906" s="27"/>
      <c r="B906" s="27"/>
      <c r="C906" s="27"/>
      <c r="D906" s="27"/>
      <c r="E906" s="27"/>
      <c r="F906" s="27"/>
      <c r="G906" s="27"/>
      <c r="H906" s="28"/>
      <c r="I906" s="29"/>
      <c r="J906" s="30"/>
      <c r="K906" s="47"/>
      <c r="L906" s="45"/>
      <c r="M906" s="48"/>
      <c r="N906" s="33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14.25" customHeight="1" x14ac:dyDescent="0.3">
      <c r="A907" s="35"/>
      <c r="B907" s="35"/>
      <c r="C907" s="35"/>
      <c r="D907" s="35"/>
      <c r="E907" s="35"/>
      <c r="F907" s="35"/>
      <c r="G907" s="35"/>
      <c r="H907" s="37"/>
      <c r="I907" s="38"/>
      <c r="J907" s="39"/>
      <c r="K907" s="40"/>
      <c r="L907" s="21"/>
      <c r="M907" s="41"/>
      <c r="N907" s="42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</row>
    <row r="908" spans="1:27" ht="14.25" customHeight="1" x14ac:dyDescent="0.3">
      <c r="A908" s="27"/>
      <c r="B908" s="27"/>
      <c r="C908" s="27"/>
      <c r="D908" s="27"/>
      <c r="E908" s="27"/>
      <c r="F908" s="27"/>
      <c r="G908" s="27"/>
      <c r="H908" s="28"/>
      <c r="I908" s="29"/>
      <c r="J908" s="30"/>
      <c r="K908" s="47"/>
      <c r="L908" s="45"/>
      <c r="M908" s="48"/>
      <c r="N908" s="33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</row>
    <row r="909" spans="1:27" ht="14.25" customHeight="1" x14ac:dyDescent="0.3">
      <c r="A909" s="35"/>
      <c r="B909" s="35"/>
      <c r="C909" s="35"/>
      <c r="D909" s="35"/>
      <c r="E909" s="35"/>
      <c r="F909" s="35"/>
      <c r="G909" s="35"/>
      <c r="H909" s="37"/>
      <c r="I909" s="38"/>
      <c r="J909" s="39"/>
      <c r="K909" s="40"/>
      <c r="L909" s="21"/>
      <c r="M909" s="41"/>
      <c r="N909" s="42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</row>
    <row r="910" spans="1:27" ht="14.25" customHeight="1" x14ac:dyDescent="0.3">
      <c r="A910" s="27"/>
      <c r="B910" s="27"/>
      <c r="C910" s="27"/>
      <c r="D910" s="27"/>
      <c r="E910" s="27"/>
      <c r="F910" s="27"/>
      <c r="G910" s="27"/>
      <c r="H910" s="28"/>
      <c r="I910" s="29"/>
      <c r="J910" s="30"/>
      <c r="K910" s="47"/>
      <c r="L910" s="45"/>
      <c r="M910" s="48"/>
      <c r="N910" s="33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</row>
    <row r="911" spans="1:27" ht="14.25" customHeight="1" x14ac:dyDescent="0.3">
      <c r="A911" s="35"/>
      <c r="B911" s="35"/>
      <c r="C911" s="35"/>
      <c r="D911" s="35"/>
      <c r="E911" s="35"/>
      <c r="F911" s="35"/>
      <c r="G911" s="35"/>
      <c r="H911" s="37"/>
      <c r="I911" s="38"/>
      <c r="J911" s="39"/>
      <c r="K911" s="40"/>
      <c r="L911" s="21"/>
      <c r="M911" s="41"/>
      <c r="N911" s="42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</row>
    <row r="912" spans="1:27" ht="14.25" customHeight="1" x14ac:dyDescent="0.3">
      <c r="A912" s="27"/>
      <c r="B912" s="27"/>
      <c r="C912" s="27"/>
      <c r="D912" s="27"/>
      <c r="E912" s="27"/>
      <c r="F912" s="27"/>
      <c r="G912" s="27"/>
      <c r="H912" s="28"/>
      <c r="I912" s="29"/>
      <c r="J912" s="30"/>
      <c r="K912" s="47"/>
      <c r="L912" s="45"/>
      <c r="M912" s="48"/>
      <c r="N912" s="33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</row>
    <row r="913" spans="1:27" ht="14.25" customHeight="1" x14ac:dyDescent="0.3">
      <c r="A913" s="35"/>
      <c r="B913" s="35"/>
      <c r="C913" s="35"/>
      <c r="D913" s="35"/>
      <c r="E913" s="35"/>
      <c r="F913" s="35"/>
      <c r="G913" s="35"/>
      <c r="H913" s="37"/>
      <c r="I913" s="38"/>
      <c r="J913" s="39"/>
      <c r="K913" s="40"/>
      <c r="L913" s="21"/>
      <c r="M913" s="41"/>
      <c r="N913" s="42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</row>
    <row r="914" spans="1:27" ht="14.25" customHeight="1" x14ac:dyDescent="0.3">
      <c r="A914" s="27"/>
      <c r="B914" s="27"/>
      <c r="C914" s="27"/>
      <c r="D914" s="27"/>
      <c r="E914" s="27"/>
      <c r="F914" s="27"/>
      <c r="G914" s="27"/>
      <c r="H914" s="28"/>
      <c r="I914" s="29"/>
      <c r="J914" s="30"/>
      <c r="K914" s="47"/>
      <c r="L914" s="45"/>
      <c r="M914" s="48"/>
      <c r="N914" s="33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</row>
    <row r="915" spans="1:27" ht="14.25" customHeight="1" x14ac:dyDescent="0.3">
      <c r="A915" s="35"/>
      <c r="B915" s="35"/>
      <c r="C915" s="35"/>
      <c r="D915" s="35"/>
      <c r="E915" s="35"/>
      <c r="F915" s="35"/>
      <c r="G915" s="35"/>
      <c r="H915" s="37"/>
      <c r="I915" s="38"/>
      <c r="J915" s="39"/>
      <c r="K915" s="40"/>
      <c r="L915" s="21"/>
      <c r="M915" s="41"/>
      <c r="N915" s="42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</row>
    <row r="916" spans="1:27" ht="14.25" customHeight="1" x14ac:dyDescent="0.3">
      <c r="A916" s="27"/>
      <c r="B916" s="27"/>
      <c r="C916" s="27"/>
      <c r="D916" s="27"/>
      <c r="E916" s="27"/>
      <c r="F916" s="27"/>
      <c r="G916" s="27"/>
      <c r="H916" s="28"/>
      <c r="I916" s="29"/>
      <c r="J916" s="30"/>
      <c r="K916" s="47"/>
      <c r="L916" s="45"/>
      <c r="M916" s="48"/>
      <c r="N916" s="33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14.25" customHeight="1" x14ac:dyDescent="0.3">
      <c r="A917" s="35"/>
      <c r="B917" s="35"/>
      <c r="C917" s="35"/>
      <c r="D917" s="35"/>
      <c r="E917" s="35"/>
      <c r="F917" s="35"/>
      <c r="G917" s="35"/>
      <c r="H917" s="37"/>
      <c r="I917" s="38"/>
      <c r="J917" s="39"/>
      <c r="K917" s="40"/>
      <c r="L917" s="21"/>
      <c r="M917" s="41"/>
      <c r="N917" s="42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</row>
    <row r="918" spans="1:27" ht="14.25" customHeight="1" x14ac:dyDescent="0.3">
      <c r="A918" s="27"/>
      <c r="B918" s="27"/>
      <c r="C918" s="27"/>
      <c r="D918" s="27"/>
      <c r="E918" s="27"/>
      <c r="F918" s="27"/>
      <c r="G918" s="27"/>
      <c r="H918" s="28"/>
      <c r="I918" s="29"/>
      <c r="J918" s="30"/>
      <c r="K918" s="47"/>
      <c r="L918" s="45"/>
      <c r="M918" s="48"/>
      <c r="N918" s="33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</row>
    <row r="919" spans="1:27" ht="14.25" customHeight="1" x14ac:dyDescent="0.3">
      <c r="A919" s="35"/>
      <c r="B919" s="35"/>
      <c r="C919" s="35"/>
      <c r="D919" s="35"/>
      <c r="E919" s="35"/>
      <c r="F919" s="35"/>
      <c r="G919" s="35"/>
      <c r="H919" s="37"/>
      <c r="I919" s="38"/>
      <c r="J919" s="39"/>
      <c r="K919" s="40"/>
      <c r="L919" s="21"/>
      <c r="M919" s="41"/>
      <c r="N919" s="42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</row>
    <row r="920" spans="1:27" ht="14.25" customHeight="1" x14ac:dyDescent="0.3">
      <c r="A920" s="27"/>
      <c r="B920" s="27"/>
      <c r="C920" s="27"/>
      <c r="D920" s="27"/>
      <c r="E920" s="27"/>
      <c r="F920" s="27"/>
      <c r="G920" s="27"/>
      <c r="H920" s="28"/>
      <c r="I920" s="29"/>
      <c r="J920" s="30"/>
      <c r="K920" s="47"/>
      <c r="L920" s="45"/>
      <c r="M920" s="48"/>
      <c r="N920" s="33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</row>
    <row r="921" spans="1:27" ht="14.25" customHeight="1" x14ac:dyDescent="0.3">
      <c r="A921" s="35"/>
      <c r="B921" s="35"/>
      <c r="C921" s="35"/>
      <c r="D921" s="35"/>
      <c r="E921" s="35"/>
      <c r="F921" s="35"/>
      <c r="G921" s="35"/>
      <c r="H921" s="37"/>
      <c r="I921" s="38"/>
      <c r="J921" s="39"/>
      <c r="K921" s="40"/>
      <c r="L921" s="21"/>
      <c r="M921" s="41"/>
      <c r="N921" s="42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</row>
    <row r="922" spans="1:27" ht="14.25" customHeight="1" x14ac:dyDescent="0.3">
      <c r="A922" s="27"/>
      <c r="B922" s="27"/>
      <c r="C922" s="27"/>
      <c r="D922" s="27"/>
      <c r="E922" s="27"/>
      <c r="F922" s="27"/>
      <c r="G922" s="27"/>
      <c r="H922" s="28"/>
      <c r="I922" s="29"/>
      <c r="J922" s="30"/>
      <c r="K922" s="47"/>
      <c r="L922" s="45"/>
      <c r="M922" s="48"/>
      <c r="N922" s="33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14.25" customHeight="1" x14ac:dyDescent="0.3">
      <c r="A923" s="35"/>
      <c r="B923" s="35"/>
      <c r="C923" s="35"/>
      <c r="D923" s="35"/>
      <c r="E923" s="35"/>
      <c r="F923" s="35"/>
      <c r="G923" s="35"/>
      <c r="H923" s="37"/>
      <c r="I923" s="38"/>
      <c r="J923" s="39"/>
      <c r="K923" s="40"/>
      <c r="L923" s="21"/>
      <c r="M923" s="41"/>
      <c r="N923" s="42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</row>
    <row r="924" spans="1:27" ht="14.25" customHeight="1" x14ac:dyDescent="0.3">
      <c r="A924" s="27"/>
      <c r="B924" s="27"/>
      <c r="C924" s="27"/>
      <c r="D924" s="27"/>
      <c r="E924" s="27"/>
      <c r="F924" s="27"/>
      <c r="G924" s="27"/>
      <c r="H924" s="28"/>
      <c r="I924" s="29"/>
      <c r="J924" s="30"/>
      <c r="K924" s="47"/>
      <c r="L924" s="45"/>
      <c r="M924" s="48"/>
      <c r="N924" s="33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</row>
    <row r="925" spans="1:27" ht="14.25" customHeight="1" x14ac:dyDescent="0.3">
      <c r="A925" s="35"/>
      <c r="B925" s="35"/>
      <c r="C925" s="35"/>
      <c r="D925" s="35"/>
      <c r="E925" s="35"/>
      <c r="F925" s="35"/>
      <c r="G925" s="35"/>
      <c r="H925" s="37"/>
      <c r="I925" s="38"/>
      <c r="J925" s="39"/>
      <c r="K925" s="40"/>
      <c r="L925" s="21"/>
      <c r="M925" s="41"/>
      <c r="N925" s="42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</row>
    <row r="926" spans="1:27" ht="14.25" customHeight="1" x14ac:dyDescent="0.3">
      <c r="A926" s="27"/>
      <c r="B926" s="27"/>
      <c r="C926" s="27"/>
      <c r="D926" s="27"/>
      <c r="E926" s="27"/>
      <c r="F926" s="27"/>
      <c r="G926" s="27"/>
      <c r="H926" s="28"/>
      <c r="I926" s="29"/>
      <c r="J926" s="30"/>
      <c r="K926" s="47"/>
      <c r="L926" s="45"/>
      <c r="M926" s="48"/>
      <c r="N926" s="33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14.25" customHeight="1" x14ac:dyDescent="0.3">
      <c r="A927" s="35"/>
      <c r="B927" s="35"/>
      <c r="C927" s="35"/>
      <c r="D927" s="35"/>
      <c r="E927" s="35"/>
      <c r="F927" s="35"/>
      <c r="G927" s="35"/>
      <c r="H927" s="37"/>
      <c r="I927" s="38"/>
      <c r="J927" s="39"/>
      <c r="K927" s="40"/>
      <c r="L927" s="21"/>
      <c r="M927" s="41"/>
      <c r="N927" s="42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</row>
    <row r="928" spans="1:27" ht="14.25" customHeight="1" x14ac:dyDescent="0.3">
      <c r="A928" s="27"/>
      <c r="B928" s="27"/>
      <c r="C928" s="27"/>
      <c r="D928" s="27"/>
      <c r="E928" s="27"/>
      <c r="F928" s="27"/>
      <c r="G928" s="27"/>
      <c r="H928" s="28"/>
      <c r="I928" s="29"/>
      <c r="J928" s="30"/>
      <c r="K928" s="47"/>
      <c r="L928" s="45"/>
      <c r="M928" s="48"/>
      <c r="N928" s="33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4.25" customHeight="1" x14ac:dyDescent="0.3">
      <c r="A929" s="35"/>
      <c r="B929" s="35"/>
      <c r="C929" s="35"/>
      <c r="D929" s="35"/>
      <c r="E929" s="35"/>
      <c r="F929" s="35"/>
      <c r="G929" s="35"/>
      <c r="H929" s="37"/>
      <c r="I929" s="38"/>
      <c r="J929" s="39"/>
      <c r="K929" s="40"/>
      <c r="L929" s="21"/>
      <c r="M929" s="41"/>
      <c r="N929" s="42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</row>
    <row r="930" spans="1:27" ht="14.25" customHeight="1" x14ac:dyDescent="0.3">
      <c r="A930" s="27"/>
      <c r="B930" s="27"/>
      <c r="C930" s="27"/>
      <c r="D930" s="27"/>
      <c r="E930" s="27"/>
      <c r="F930" s="27"/>
      <c r="G930" s="27"/>
      <c r="H930" s="28"/>
      <c r="I930" s="29"/>
      <c r="J930" s="30"/>
      <c r="K930" s="47"/>
      <c r="L930" s="45"/>
      <c r="M930" s="48"/>
      <c r="N930" s="33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14.25" customHeight="1" x14ac:dyDescent="0.3">
      <c r="A931" s="35"/>
      <c r="B931" s="35"/>
      <c r="C931" s="35"/>
      <c r="D931" s="35"/>
      <c r="E931" s="35"/>
      <c r="F931" s="35"/>
      <c r="G931" s="35"/>
      <c r="H931" s="37"/>
      <c r="I931" s="38"/>
      <c r="J931" s="39"/>
      <c r="K931" s="40"/>
      <c r="L931" s="21"/>
      <c r="M931" s="41"/>
      <c r="N931" s="42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</row>
    <row r="932" spans="1:27" ht="14.25" customHeight="1" x14ac:dyDescent="0.3">
      <c r="A932" s="27"/>
      <c r="B932" s="27"/>
      <c r="C932" s="27"/>
      <c r="D932" s="27"/>
      <c r="E932" s="27"/>
      <c r="F932" s="27"/>
      <c r="G932" s="27"/>
      <c r="H932" s="28"/>
      <c r="I932" s="29"/>
      <c r="J932" s="30"/>
      <c r="K932" s="47"/>
      <c r="L932" s="45"/>
      <c r="M932" s="48"/>
      <c r="N932" s="33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4.25" customHeight="1" x14ac:dyDescent="0.3">
      <c r="A933" s="35"/>
      <c r="B933" s="35"/>
      <c r="C933" s="35"/>
      <c r="D933" s="35"/>
      <c r="E933" s="35"/>
      <c r="F933" s="35"/>
      <c r="G933" s="35"/>
      <c r="H933" s="37"/>
      <c r="I933" s="38"/>
      <c r="J933" s="39"/>
      <c r="K933" s="40"/>
      <c r="L933" s="21"/>
      <c r="M933" s="41"/>
      <c r="N933" s="42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</row>
    <row r="934" spans="1:27" ht="14.25" customHeight="1" x14ac:dyDescent="0.3">
      <c r="A934" s="27"/>
      <c r="B934" s="27"/>
      <c r="C934" s="27"/>
      <c r="D934" s="27"/>
      <c r="E934" s="27"/>
      <c r="F934" s="27"/>
      <c r="G934" s="27"/>
      <c r="H934" s="28"/>
      <c r="I934" s="29"/>
      <c r="J934" s="30"/>
      <c r="K934" s="47"/>
      <c r="L934" s="45"/>
      <c r="M934" s="48"/>
      <c r="N934" s="33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14.25" customHeight="1" x14ac:dyDescent="0.3">
      <c r="A935" s="35"/>
      <c r="B935" s="35"/>
      <c r="C935" s="35"/>
      <c r="D935" s="35"/>
      <c r="E935" s="35"/>
      <c r="F935" s="35"/>
      <c r="G935" s="35"/>
      <c r="H935" s="37"/>
      <c r="I935" s="38"/>
      <c r="J935" s="39"/>
      <c r="K935" s="40"/>
      <c r="L935" s="21"/>
      <c r="M935" s="41"/>
      <c r="N935" s="42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</row>
    <row r="936" spans="1:27" ht="14.25" customHeight="1" x14ac:dyDescent="0.3">
      <c r="A936" s="27"/>
      <c r="B936" s="27"/>
      <c r="C936" s="27"/>
      <c r="D936" s="27"/>
      <c r="E936" s="27"/>
      <c r="F936" s="27"/>
      <c r="G936" s="27"/>
      <c r="H936" s="28"/>
      <c r="I936" s="29"/>
      <c r="J936" s="30"/>
      <c r="K936" s="47"/>
      <c r="L936" s="45"/>
      <c r="M936" s="48"/>
      <c r="N936" s="33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14.25" customHeight="1" x14ac:dyDescent="0.3">
      <c r="A937" s="35"/>
      <c r="B937" s="35"/>
      <c r="C937" s="35"/>
      <c r="D937" s="35"/>
      <c r="E937" s="35"/>
      <c r="F937" s="35"/>
      <c r="G937" s="35"/>
      <c r="H937" s="37"/>
      <c r="I937" s="38"/>
      <c r="J937" s="39"/>
      <c r="K937" s="40"/>
      <c r="L937" s="21"/>
      <c r="M937" s="41"/>
      <c r="N937" s="42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</row>
    <row r="938" spans="1:27" ht="14.25" customHeight="1" x14ac:dyDescent="0.3">
      <c r="A938" s="27"/>
      <c r="B938" s="27"/>
      <c r="C938" s="27"/>
      <c r="D938" s="27"/>
      <c r="E938" s="27"/>
      <c r="F938" s="27"/>
      <c r="G938" s="27"/>
      <c r="H938" s="28"/>
      <c r="I938" s="29"/>
      <c r="J938" s="30"/>
      <c r="K938" s="47"/>
      <c r="L938" s="45"/>
      <c r="M938" s="48"/>
      <c r="N938" s="33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</row>
    <row r="939" spans="1:27" ht="14.25" customHeight="1" x14ac:dyDescent="0.3">
      <c r="A939" s="35"/>
      <c r="B939" s="35"/>
      <c r="C939" s="35"/>
      <c r="D939" s="35"/>
      <c r="E939" s="35"/>
      <c r="F939" s="35"/>
      <c r="G939" s="35"/>
      <c r="H939" s="37"/>
      <c r="I939" s="38"/>
      <c r="J939" s="39"/>
      <c r="K939" s="40"/>
      <c r="L939" s="21"/>
      <c r="M939" s="41"/>
      <c r="N939" s="42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</row>
    <row r="940" spans="1:27" ht="14.25" customHeight="1" x14ac:dyDescent="0.3">
      <c r="A940" s="27"/>
      <c r="B940" s="27"/>
      <c r="C940" s="27"/>
      <c r="D940" s="27"/>
      <c r="E940" s="27"/>
      <c r="F940" s="27"/>
      <c r="G940" s="27"/>
      <c r="H940" s="28"/>
      <c r="I940" s="29"/>
      <c r="J940" s="30"/>
      <c r="K940" s="47"/>
      <c r="L940" s="45"/>
      <c r="M940" s="48"/>
      <c r="N940" s="33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</row>
    <row r="941" spans="1:27" ht="14.25" customHeight="1" x14ac:dyDescent="0.3">
      <c r="A941" s="35"/>
      <c r="B941" s="35"/>
      <c r="C941" s="35"/>
      <c r="D941" s="35"/>
      <c r="E941" s="35"/>
      <c r="F941" s="35"/>
      <c r="G941" s="35"/>
      <c r="H941" s="37"/>
      <c r="I941" s="38"/>
      <c r="J941" s="39"/>
      <c r="K941" s="40"/>
      <c r="L941" s="21"/>
      <c r="M941" s="41"/>
      <c r="N941" s="42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</row>
    <row r="942" spans="1:27" ht="14.25" customHeight="1" x14ac:dyDescent="0.3">
      <c r="A942" s="27"/>
      <c r="B942" s="27"/>
      <c r="C942" s="27"/>
      <c r="D942" s="27"/>
      <c r="E942" s="27"/>
      <c r="F942" s="27"/>
      <c r="G942" s="27"/>
      <c r="H942" s="28"/>
      <c r="I942" s="29"/>
      <c r="J942" s="30"/>
      <c r="K942" s="47"/>
      <c r="L942" s="45"/>
      <c r="M942" s="48"/>
      <c r="N942" s="33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14.25" customHeight="1" x14ac:dyDescent="0.3">
      <c r="A943" s="35"/>
      <c r="B943" s="35"/>
      <c r="C943" s="35"/>
      <c r="D943" s="35"/>
      <c r="E943" s="35"/>
      <c r="F943" s="35"/>
      <c r="G943" s="35"/>
      <c r="H943" s="37"/>
      <c r="I943" s="38"/>
      <c r="J943" s="39"/>
      <c r="K943" s="40"/>
      <c r="L943" s="21"/>
      <c r="M943" s="41"/>
      <c r="N943" s="42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</row>
    <row r="944" spans="1:27" ht="14.25" customHeight="1" x14ac:dyDescent="0.3">
      <c r="A944" s="27"/>
      <c r="B944" s="27"/>
      <c r="C944" s="27"/>
      <c r="D944" s="27"/>
      <c r="E944" s="27"/>
      <c r="F944" s="27"/>
      <c r="G944" s="27"/>
      <c r="H944" s="28"/>
      <c r="I944" s="29"/>
      <c r="J944" s="30"/>
      <c r="K944" s="47"/>
      <c r="L944" s="45"/>
      <c r="M944" s="48"/>
      <c r="N944" s="33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</row>
    <row r="945" spans="1:27" ht="14.25" customHeight="1" x14ac:dyDescent="0.3">
      <c r="A945" s="35"/>
      <c r="B945" s="35"/>
      <c r="C945" s="35"/>
      <c r="D945" s="35"/>
      <c r="E945" s="35"/>
      <c r="F945" s="35"/>
      <c r="G945" s="35"/>
      <c r="H945" s="37"/>
      <c r="I945" s="38"/>
      <c r="J945" s="39"/>
      <c r="K945" s="40"/>
      <c r="L945" s="21"/>
      <c r="M945" s="41"/>
      <c r="N945" s="42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</row>
    <row r="946" spans="1:27" ht="14.25" customHeight="1" x14ac:dyDescent="0.3">
      <c r="A946" s="27"/>
      <c r="B946" s="27"/>
      <c r="C946" s="27"/>
      <c r="D946" s="27"/>
      <c r="E946" s="27"/>
      <c r="F946" s="27"/>
      <c r="G946" s="27"/>
      <c r="H946" s="28"/>
      <c r="I946" s="29"/>
      <c r="J946" s="30"/>
      <c r="K946" s="47"/>
      <c r="L946" s="45"/>
      <c r="M946" s="48"/>
      <c r="N946" s="33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</row>
    <row r="947" spans="1:27" ht="14.25" customHeight="1" x14ac:dyDescent="0.3">
      <c r="A947" s="35"/>
      <c r="B947" s="35"/>
      <c r="C947" s="35"/>
      <c r="D947" s="35"/>
      <c r="E947" s="35"/>
      <c r="F947" s="35"/>
      <c r="G947" s="35"/>
      <c r="H947" s="37"/>
      <c r="I947" s="38"/>
      <c r="J947" s="39"/>
      <c r="K947" s="40"/>
      <c r="L947" s="21"/>
      <c r="M947" s="41"/>
      <c r="N947" s="42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</row>
    <row r="948" spans="1:27" ht="14.25" customHeight="1" x14ac:dyDescent="0.3">
      <c r="A948" s="27"/>
      <c r="B948" s="27"/>
      <c r="C948" s="27"/>
      <c r="D948" s="27"/>
      <c r="E948" s="27"/>
      <c r="F948" s="27"/>
      <c r="G948" s="27"/>
      <c r="H948" s="28"/>
      <c r="I948" s="29"/>
      <c r="J948" s="30"/>
      <c r="K948" s="47"/>
      <c r="L948" s="45"/>
      <c r="M948" s="48"/>
      <c r="N948" s="33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</row>
    <row r="949" spans="1:27" ht="14.25" customHeight="1" x14ac:dyDescent="0.3">
      <c r="A949" s="35"/>
      <c r="B949" s="35"/>
      <c r="C949" s="35"/>
      <c r="D949" s="35"/>
      <c r="E949" s="35"/>
      <c r="F949" s="35"/>
      <c r="G949" s="35"/>
      <c r="H949" s="37"/>
      <c r="I949" s="38"/>
      <c r="J949" s="39"/>
      <c r="K949" s="40"/>
      <c r="L949" s="21"/>
      <c r="M949" s="41"/>
      <c r="N949" s="42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</row>
    <row r="950" spans="1:27" ht="14.25" customHeight="1" x14ac:dyDescent="0.3">
      <c r="A950" s="27"/>
      <c r="B950" s="27"/>
      <c r="C950" s="27"/>
      <c r="D950" s="27"/>
      <c r="E950" s="27"/>
      <c r="F950" s="27"/>
      <c r="G950" s="27"/>
      <c r="H950" s="28"/>
      <c r="I950" s="29"/>
      <c r="J950" s="30"/>
      <c r="K950" s="47"/>
      <c r="L950" s="45"/>
      <c r="M950" s="48"/>
      <c r="N950" s="33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14.25" customHeight="1" x14ac:dyDescent="0.3">
      <c r="A951" s="35"/>
      <c r="B951" s="35"/>
      <c r="C951" s="35"/>
      <c r="D951" s="35"/>
      <c r="E951" s="35"/>
      <c r="F951" s="35"/>
      <c r="G951" s="35"/>
      <c r="H951" s="37"/>
      <c r="I951" s="38"/>
      <c r="J951" s="39"/>
      <c r="K951" s="40"/>
      <c r="L951" s="21"/>
      <c r="M951" s="41"/>
      <c r="N951" s="42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</row>
    <row r="952" spans="1:27" ht="14.25" customHeight="1" x14ac:dyDescent="0.3">
      <c r="A952" s="27"/>
      <c r="B952" s="27"/>
      <c r="C952" s="27"/>
      <c r="D952" s="27"/>
      <c r="E952" s="27"/>
      <c r="F952" s="27"/>
      <c r="G952" s="27"/>
      <c r="H952" s="28"/>
      <c r="I952" s="29"/>
      <c r="J952" s="30"/>
      <c r="K952" s="47"/>
      <c r="L952" s="45"/>
      <c r="M952" s="48"/>
      <c r="N952" s="33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14.25" customHeight="1" x14ac:dyDescent="0.3">
      <c r="A953" s="35"/>
      <c r="B953" s="35"/>
      <c r="C953" s="35"/>
      <c r="D953" s="35"/>
      <c r="E953" s="35"/>
      <c r="F953" s="35"/>
      <c r="G953" s="35"/>
      <c r="H953" s="37"/>
      <c r="I953" s="38"/>
      <c r="J953" s="39"/>
      <c r="K953" s="40"/>
      <c r="L953" s="21"/>
      <c r="M953" s="41"/>
      <c r="N953" s="42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</row>
    <row r="954" spans="1:27" ht="14.25" customHeight="1" x14ac:dyDescent="0.3">
      <c r="A954" s="27"/>
      <c r="B954" s="27"/>
      <c r="C954" s="27"/>
      <c r="D954" s="27"/>
      <c r="E954" s="27"/>
      <c r="F954" s="27"/>
      <c r="G954" s="27"/>
      <c r="H954" s="28"/>
      <c r="I954" s="29"/>
      <c r="J954" s="30"/>
      <c r="K954" s="47"/>
      <c r="L954" s="45"/>
      <c r="M954" s="48"/>
      <c r="N954" s="33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</row>
    <row r="955" spans="1:27" ht="14.25" customHeight="1" x14ac:dyDescent="0.3">
      <c r="A955" s="35"/>
      <c r="B955" s="35"/>
      <c r="C955" s="35"/>
      <c r="D955" s="35"/>
      <c r="E955" s="35"/>
      <c r="F955" s="35"/>
      <c r="G955" s="35"/>
      <c r="H955" s="37"/>
      <c r="I955" s="38"/>
      <c r="J955" s="39"/>
      <c r="K955" s="40"/>
      <c r="L955" s="21"/>
      <c r="M955" s="41"/>
      <c r="N955" s="42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</row>
    <row r="956" spans="1:27" ht="14.25" customHeight="1" x14ac:dyDescent="0.3">
      <c r="A956" s="27"/>
      <c r="B956" s="27"/>
      <c r="C956" s="27"/>
      <c r="D956" s="27"/>
      <c r="E956" s="27"/>
      <c r="F956" s="27"/>
      <c r="G956" s="27"/>
      <c r="H956" s="28"/>
      <c r="I956" s="29"/>
      <c r="J956" s="30"/>
      <c r="K956" s="47"/>
      <c r="L956" s="45"/>
      <c r="M956" s="48"/>
      <c r="N956" s="33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14.25" customHeight="1" x14ac:dyDescent="0.3">
      <c r="A957" s="35"/>
      <c r="B957" s="35"/>
      <c r="C957" s="35"/>
      <c r="D957" s="35"/>
      <c r="E957" s="35"/>
      <c r="F957" s="35"/>
      <c r="G957" s="35"/>
      <c r="H957" s="37"/>
      <c r="I957" s="38"/>
      <c r="J957" s="39"/>
      <c r="K957" s="40"/>
      <c r="L957" s="21"/>
      <c r="M957" s="41"/>
      <c r="N957" s="42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</row>
    <row r="958" spans="1:27" ht="14.25" customHeight="1" x14ac:dyDescent="0.3">
      <c r="A958" s="27"/>
      <c r="B958" s="27"/>
      <c r="C958" s="27"/>
      <c r="D958" s="27"/>
      <c r="E958" s="27"/>
      <c r="F958" s="27"/>
      <c r="G958" s="27"/>
      <c r="H958" s="28"/>
      <c r="I958" s="29"/>
      <c r="J958" s="30"/>
      <c r="K958" s="47"/>
      <c r="L958" s="45"/>
      <c r="M958" s="48"/>
      <c r="N958" s="33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14.25" customHeight="1" x14ac:dyDescent="0.3">
      <c r="A959" s="35"/>
      <c r="B959" s="35"/>
      <c r="C959" s="35"/>
      <c r="D959" s="35"/>
      <c r="E959" s="35"/>
      <c r="F959" s="35"/>
      <c r="G959" s="35"/>
      <c r="H959" s="37"/>
      <c r="I959" s="38"/>
      <c r="J959" s="39"/>
      <c r="K959" s="40"/>
      <c r="L959" s="21"/>
      <c r="M959" s="41"/>
      <c r="N959" s="42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</row>
    <row r="960" spans="1:27" ht="14.25" customHeight="1" x14ac:dyDescent="0.3">
      <c r="A960" s="27"/>
      <c r="B960" s="27"/>
      <c r="C960" s="27"/>
      <c r="D960" s="27"/>
      <c r="E960" s="27"/>
      <c r="F960" s="27"/>
      <c r="G960" s="27"/>
      <c r="H960" s="28"/>
      <c r="I960" s="29"/>
      <c r="J960" s="30"/>
      <c r="K960" s="47"/>
      <c r="L960" s="45"/>
      <c r="M960" s="48"/>
      <c r="N960" s="33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14.25" customHeight="1" x14ac:dyDescent="0.3">
      <c r="A961" s="35"/>
      <c r="B961" s="35"/>
      <c r="C961" s="35"/>
      <c r="D961" s="35"/>
      <c r="E961" s="35"/>
      <c r="F961" s="35"/>
      <c r="G961" s="35"/>
      <c r="H961" s="37"/>
      <c r="I961" s="38"/>
      <c r="J961" s="39"/>
      <c r="K961" s="40"/>
      <c r="L961" s="21"/>
      <c r="M961" s="41"/>
      <c r="N961" s="42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</row>
    <row r="962" spans="1:27" ht="14.25" customHeight="1" x14ac:dyDescent="0.3">
      <c r="A962" s="27"/>
      <c r="B962" s="27"/>
      <c r="C962" s="27"/>
      <c r="D962" s="27"/>
      <c r="E962" s="27"/>
      <c r="F962" s="27"/>
      <c r="G962" s="27"/>
      <c r="H962" s="28"/>
      <c r="I962" s="29"/>
      <c r="J962" s="30"/>
      <c r="K962" s="47"/>
      <c r="L962" s="45"/>
      <c r="M962" s="48"/>
      <c r="N962" s="33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</row>
    <row r="963" spans="1:27" ht="14.25" customHeight="1" x14ac:dyDescent="0.3">
      <c r="A963" s="35"/>
      <c r="B963" s="35"/>
      <c r="C963" s="35"/>
      <c r="D963" s="35"/>
      <c r="E963" s="35"/>
      <c r="F963" s="35"/>
      <c r="G963" s="35"/>
      <c r="H963" s="37"/>
      <c r="I963" s="38"/>
      <c r="J963" s="39"/>
      <c r="K963" s="40"/>
      <c r="L963" s="21"/>
      <c r="M963" s="41"/>
      <c r="N963" s="42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</row>
    <row r="964" spans="1:27" ht="14.25" customHeight="1" x14ac:dyDescent="0.3">
      <c r="A964" s="27"/>
      <c r="B964" s="27"/>
      <c r="C964" s="27"/>
      <c r="D964" s="27"/>
      <c r="E964" s="27"/>
      <c r="F964" s="27"/>
      <c r="G964" s="27"/>
      <c r="H964" s="28"/>
      <c r="I964" s="29"/>
      <c r="J964" s="30"/>
      <c r="K964" s="47"/>
      <c r="L964" s="45"/>
      <c r="M964" s="48"/>
      <c r="N964" s="33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</row>
    <row r="965" spans="1:27" ht="14.25" customHeight="1" x14ac:dyDescent="0.3">
      <c r="A965" s="35"/>
      <c r="B965" s="35"/>
      <c r="C965" s="35"/>
      <c r="D965" s="35"/>
      <c r="E965" s="35"/>
      <c r="F965" s="35"/>
      <c r="G965" s="35"/>
      <c r="H965" s="37"/>
      <c r="I965" s="38"/>
      <c r="J965" s="39"/>
      <c r="K965" s="40"/>
      <c r="L965" s="21"/>
      <c r="M965" s="41"/>
      <c r="N965" s="42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</row>
    <row r="966" spans="1:27" ht="14.25" customHeight="1" x14ac:dyDescent="0.3">
      <c r="A966" s="27"/>
      <c r="B966" s="27"/>
      <c r="C966" s="27"/>
      <c r="D966" s="27"/>
      <c r="E966" s="27"/>
      <c r="F966" s="27"/>
      <c r="G966" s="27"/>
      <c r="H966" s="28"/>
      <c r="I966" s="29"/>
      <c r="J966" s="30"/>
      <c r="K966" s="47"/>
      <c r="L966" s="45"/>
      <c r="M966" s="48"/>
      <c r="N966" s="33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</row>
    <row r="967" spans="1:27" ht="14.25" customHeight="1" x14ac:dyDescent="0.3">
      <c r="A967" s="35"/>
      <c r="B967" s="35"/>
      <c r="C967" s="35"/>
      <c r="D967" s="35"/>
      <c r="E967" s="35"/>
      <c r="F967" s="35"/>
      <c r="G967" s="35"/>
      <c r="H967" s="37"/>
      <c r="I967" s="38"/>
      <c r="J967" s="39"/>
      <c r="K967" s="40"/>
      <c r="L967" s="21"/>
      <c r="M967" s="41"/>
      <c r="N967" s="42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</row>
    <row r="968" spans="1:27" ht="14.25" customHeight="1" x14ac:dyDescent="0.3">
      <c r="A968" s="27"/>
      <c r="B968" s="27"/>
      <c r="C968" s="27"/>
      <c r="D968" s="27"/>
      <c r="E968" s="27"/>
      <c r="F968" s="27"/>
      <c r="G968" s="27"/>
      <c r="H968" s="28"/>
      <c r="I968" s="29"/>
      <c r="J968" s="30"/>
      <c r="K968" s="47"/>
      <c r="L968" s="45"/>
      <c r="M968" s="48"/>
      <c r="N968" s="33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</row>
    <row r="969" spans="1:27" ht="14.25" customHeight="1" x14ac:dyDescent="0.3">
      <c r="A969" s="35"/>
      <c r="B969" s="35"/>
      <c r="C969" s="35"/>
      <c r="D969" s="35"/>
      <c r="E969" s="35"/>
      <c r="F969" s="35"/>
      <c r="G969" s="35"/>
      <c r="H969" s="37"/>
      <c r="I969" s="38"/>
      <c r="J969" s="39"/>
      <c r="K969" s="40"/>
      <c r="L969" s="21"/>
      <c r="M969" s="41"/>
      <c r="N969" s="42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</row>
    <row r="970" spans="1:27" ht="14.25" customHeight="1" x14ac:dyDescent="0.3">
      <c r="A970" s="27"/>
      <c r="B970" s="27"/>
      <c r="C970" s="27"/>
      <c r="D970" s="27"/>
      <c r="E970" s="27"/>
      <c r="F970" s="27"/>
      <c r="G970" s="27"/>
      <c r="H970" s="28"/>
      <c r="I970" s="29"/>
      <c r="J970" s="30"/>
      <c r="K970" s="47"/>
      <c r="L970" s="45"/>
      <c r="M970" s="48"/>
      <c r="N970" s="33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</row>
    <row r="971" spans="1:27" ht="14.25" customHeight="1" x14ac:dyDescent="0.3">
      <c r="A971" s="35"/>
      <c r="B971" s="35"/>
      <c r="C971" s="35"/>
      <c r="D971" s="35"/>
      <c r="E971" s="35"/>
      <c r="F971" s="35"/>
      <c r="G971" s="35"/>
      <c r="H971" s="37"/>
      <c r="I971" s="38"/>
      <c r="J971" s="39"/>
      <c r="K971" s="40"/>
      <c r="L971" s="21"/>
      <c r="M971" s="41"/>
      <c r="N971" s="42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</row>
    <row r="972" spans="1:27" ht="14.25" customHeight="1" x14ac:dyDescent="0.3">
      <c r="A972" s="27"/>
      <c r="B972" s="27"/>
      <c r="C972" s="27"/>
      <c r="D972" s="27"/>
      <c r="E972" s="27"/>
      <c r="F972" s="27"/>
      <c r="G972" s="27"/>
      <c r="H972" s="28"/>
      <c r="I972" s="29"/>
      <c r="J972" s="30"/>
      <c r="K972" s="47"/>
      <c r="L972" s="45"/>
      <c r="M972" s="48"/>
      <c r="N972" s="33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</row>
    <row r="973" spans="1:27" ht="14.25" customHeight="1" x14ac:dyDescent="0.3">
      <c r="A973" s="35"/>
      <c r="B973" s="35"/>
      <c r="C973" s="35"/>
      <c r="D973" s="35"/>
      <c r="E973" s="35"/>
      <c r="F973" s="35"/>
      <c r="G973" s="35"/>
      <c r="H973" s="37"/>
      <c r="I973" s="38"/>
      <c r="J973" s="39"/>
      <c r="K973" s="40"/>
      <c r="L973" s="21"/>
      <c r="M973" s="41"/>
      <c r="N973" s="42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</row>
    <row r="974" spans="1:27" ht="14.25" customHeight="1" x14ac:dyDescent="0.3">
      <c r="A974" s="27"/>
      <c r="B974" s="27"/>
      <c r="C974" s="27"/>
      <c r="D974" s="27"/>
      <c r="E974" s="27"/>
      <c r="F974" s="27"/>
      <c r="G974" s="27"/>
      <c r="H974" s="28"/>
      <c r="I974" s="29"/>
      <c r="J974" s="30"/>
      <c r="K974" s="47"/>
      <c r="L974" s="45"/>
      <c r="M974" s="48"/>
      <c r="N974" s="33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</row>
    <row r="975" spans="1:27" ht="14.25" customHeight="1" x14ac:dyDescent="0.3">
      <c r="A975" s="35"/>
      <c r="B975" s="35"/>
      <c r="C975" s="35"/>
      <c r="D975" s="35"/>
      <c r="E975" s="35"/>
      <c r="F975" s="35"/>
      <c r="G975" s="35"/>
      <c r="H975" s="37"/>
      <c r="I975" s="38"/>
      <c r="J975" s="39"/>
      <c r="K975" s="40"/>
      <c r="L975" s="21"/>
      <c r="M975" s="41"/>
      <c r="N975" s="42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</row>
    <row r="976" spans="1:27" ht="14.25" customHeight="1" x14ac:dyDescent="0.3">
      <c r="A976" s="27"/>
      <c r="B976" s="27"/>
      <c r="C976" s="27"/>
      <c r="D976" s="27"/>
      <c r="E976" s="27"/>
      <c r="F976" s="27"/>
      <c r="G976" s="27"/>
      <c r="H976" s="28"/>
      <c r="I976" s="29"/>
      <c r="J976" s="30"/>
      <c r="K976" s="47"/>
      <c r="L976" s="45"/>
      <c r="M976" s="48"/>
      <c r="N976" s="33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</row>
    <row r="977" spans="1:27" ht="14.25" customHeight="1" x14ac:dyDescent="0.3">
      <c r="A977" s="35"/>
      <c r="B977" s="35"/>
      <c r="C977" s="35"/>
      <c r="D977" s="35"/>
      <c r="E977" s="35"/>
      <c r="F977" s="35"/>
      <c r="G977" s="35"/>
      <c r="H977" s="37"/>
      <c r="I977" s="38"/>
      <c r="J977" s="39"/>
      <c r="K977" s="40"/>
      <c r="L977" s="21"/>
      <c r="M977" s="41"/>
      <c r="N977" s="42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</row>
    <row r="978" spans="1:27" ht="14.25" customHeight="1" x14ac:dyDescent="0.3">
      <c r="A978" s="27"/>
      <c r="B978" s="27"/>
      <c r="C978" s="27"/>
      <c r="D978" s="27"/>
      <c r="E978" s="27"/>
      <c r="F978" s="27"/>
      <c r="G978" s="27"/>
      <c r="H978" s="28"/>
      <c r="I978" s="29"/>
      <c r="J978" s="30"/>
      <c r="K978" s="47"/>
      <c r="L978" s="45"/>
      <c r="M978" s="48"/>
      <c r="N978" s="33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</row>
    <row r="979" spans="1:27" ht="14.25" customHeight="1" x14ac:dyDescent="0.3">
      <c r="A979" s="35"/>
      <c r="B979" s="35"/>
      <c r="C979" s="35"/>
      <c r="D979" s="35"/>
      <c r="E979" s="35"/>
      <c r="F979" s="35"/>
      <c r="G979" s="35"/>
      <c r="H979" s="37"/>
      <c r="I979" s="38"/>
      <c r="J979" s="39"/>
      <c r="K979" s="40"/>
      <c r="L979" s="21"/>
      <c r="M979" s="41"/>
      <c r="N979" s="42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</row>
    <row r="980" spans="1:27" ht="14.25" customHeight="1" x14ac:dyDescent="0.3">
      <c r="A980" s="27"/>
      <c r="T980" s="34"/>
      <c r="U980" s="34"/>
      <c r="V980" s="34"/>
      <c r="W980" s="34"/>
      <c r="X980" s="34"/>
      <c r="Y980" s="34"/>
      <c r="Z980" s="34"/>
      <c r="AA980" s="34"/>
    </row>
  </sheetData>
  <mergeCells count="3">
    <mergeCell ref="A1:H1"/>
    <mergeCell ref="I1:K1"/>
    <mergeCell ref="L1:N1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4D2FD-7EC0-4FB6-AC9A-85DDC78820D0}">
  <sheetPr codeName="Sheet2"/>
  <dimension ref="A1:P625"/>
  <sheetViews>
    <sheetView tabSelected="1" workbookViewId="0">
      <selection activeCell="A6" sqref="A6"/>
    </sheetView>
  </sheetViews>
  <sheetFormatPr defaultRowHeight="15.6" x14ac:dyDescent="0.3"/>
  <sheetData>
    <row r="1" spans="1:16" x14ac:dyDescent="0.3">
      <c r="A1" t="s">
        <v>628</v>
      </c>
      <c r="B1" t="s">
        <v>621</v>
      </c>
      <c r="C1" t="s">
        <v>5</v>
      </c>
      <c r="D1" t="s">
        <v>6</v>
      </c>
      <c r="E1" t="s">
        <v>7</v>
      </c>
      <c r="F1" t="s">
        <v>8</v>
      </c>
      <c r="G1" t="s">
        <v>626</v>
      </c>
      <c r="H1" t="s">
        <v>622</v>
      </c>
      <c r="I1" t="s">
        <v>623</v>
      </c>
      <c r="J1" t="s">
        <v>5</v>
      </c>
      <c r="K1" t="s">
        <v>11</v>
      </c>
      <c r="L1" t="s">
        <v>624</v>
      </c>
      <c r="M1" t="s">
        <v>5</v>
      </c>
      <c r="N1" t="s">
        <v>11</v>
      </c>
      <c r="O1" t="s">
        <v>625</v>
      </c>
      <c r="P1" t="s">
        <v>627</v>
      </c>
    </row>
    <row r="2" spans="1:16" x14ac:dyDescent="0.3">
      <c r="A2">
        <v>4000</v>
      </c>
      <c r="B2">
        <v>43187</v>
      </c>
      <c r="C2" t="s">
        <v>12</v>
      </c>
      <c r="G2">
        <v>30</v>
      </c>
      <c r="H2" t="s">
        <v>13</v>
      </c>
      <c r="I2">
        <v>2892</v>
      </c>
      <c r="J2" t="s">
        <v>12</v>
      </c>
      <c r="L2">
        <v>2892</v>
      </c>
      <c r="M2" t="s">
        <v>12</v>
      </c>
      <c r="O2" t="str">
        <f>TEXTJOIN("==",TRUE,C2:F2)</f>
        <v>AB*</v>
      </c>
    </row>
    <row r="3" spans="1:16" x14ac:dyDescent="0.3">
      <c r="A3">
        <v>4001</v>
      </c>
      <c r="B3">
        <v>43187</v>
      </c>
      <c r="C3" t="s">
        <v>14</v>
      </c>
      <c r="G3">
        <v>30</v>
      </c>
      <c r="H3" t="s">
        <v>13</v>
      </c>
      <c r="I3">
        <v>3002</v>
      </c>
      <c r="J3" t="s">
        <v>14</v>
      </c>
      <c r="L3">
        <v>3002</v>
      </c>
      <c r="M3" t="s">
        <v>14</v>
      </c>
      <c r="O3" t="str">
        <f t="shared" ref="O3:O66" si="0">TEXTJOIN("==",TRUE,C3:F3)</f>
        <v>NF1a+/-;NF1b+/-</v>
      </c>
    </row>
    <row r="4" spans="1:16" x14ac:dyDescent="0.3">
      <c r="A4">
        <v>4002</v>
      </c>
      <c r="B4">
        <v>43187</v>
      </c>
      <c r="D4" t="s">
        <v>15</v>
      </c>
      <c r="G4">
        <v>45</v>
      </c>
      <c r="H4" t="s">
        <v>16</v>
      </c>
      <c r="I4">
        <v>2964</v>
      </c>
      <c r="J4" t="s">
        <v>12</v>
      </c>
      <c r="L4">
        <v>2889</v>
      </c>
      <c r="N4" t="s">
        <v>15</v>
      </c>
      <c r="O4" t="str">
        <f t="shared" si="0"/>
        <v>Tg(olig2:dsred)</v>
      </c>
    </row>
    <row r="5" spans="1:16" x14ac:dyDescent="0.3">
      <c r="A5">
        <v>4003</v>
      </c>
      <c r="B5">
        <v>43187</v>
      </c>
      <c r="C5" t="s">
        <v>17</v>
      </c>
      <c r="D5" t="s">
        <v>15</v>
      </c>
      <c r="G5">
        <v>30</v>
      </c>
      <c r="H5" t="s">
        <v>16</v>
      </c>
      <c r="I5">
        <v>2964</v>
      </c>
      <c r="J5" t="s">
        <v>12</v>
      </c>
      <c r="L5">
        <v>3082</v>
      </c>
      <c r="M5" t="s">
        <v>18</v>
      </c>
      <c r="N5" t="s">
        <v>15</v>
      </c>
      <c r="O5" t="str">
        <f t="shared" si="0"/>
        <v>adora2aa(ct845)+/-, +/+; adora2ab (zfn)+/-;+/+==Tg(olig2:dsred)</v>
      </c>
    </row>
    <row r="6" spans="1:16" x14ac:dyDescent="0.3">
      <c r="A6">
        <v>4004</v>
      </c>
      <c r="B6">
        <v>43187</v>
      </c>
      <c r="C6" t="s">
        <v>17</v>
      </c>
      <c r="G6">
        <v>50</v>
      </c>
      <c r="H6" t="s">
        <v>16</v>
      </c>
      <c r="I6">
        <v>2964</v>
      </c>
      <c r="J6" t="s">
        <v>12</v>
      </c>
      <c r="L6">
        <v>3082</v>
      </c>
      <c r="M6" t="s">
        <v>18</v>
      </c>
      <c r="N6" t="s">
        <v>15</v>
      </c>
      <c r="O6" t="str">
        <f t="shared" si="0"/>
        <v>adora2aa(ct845)+/-, +/+; adora2ab (zfn)+/-;+/+</v>
      </c>
    </row>
    <row r="7" spans="1:16" x14ac:dyDescent="0.3">
      <c r="A7">
        <v>4005</v>
      </c>
      <c r="B7">
        <v>43187</v>
      </c>
      <c r="C7" t="s">
        <v>19</v>
      </c>
      <c r="D7" t="s">
        <v>20</v>
      </c>
      <c r="G7">
        <v>35</v>
      </c>
      <c r="H7" t="s">
        <v>16</v>
      </c>
      <c r="I7">
        <v>3089</v>
      </c>
      <c r="J7" t="s">
        <v>21</v>
      </c>
      <c r="K7" t="s">
        <v>20</v>
      </c>
      <c r="L7">
        <v>2965</v>
      </c>
      <c r="M7" t="s">
        <v>12</v>
      </c>
      <c r="O7" t="str">
        <f t="shared" si="0"/>
        <v>gpr126+/-,+/+==Tg(mbp:egfp-caax)</v>
      </c>
    </row>
    <row r="8" spans="1:16" x14ac:dyDescent="0.3">
      <c r="A8">
        <v>4006</v>
      </c>
      <c r="B8">
        <v>43187</v>
      </c>
      <c r="D8" t="s">
        <v>22</v>
      </c>
      <c r="G8">
        <v>15</v>
      </c>
      <c r="H8" t="s">
        <v>23</v>
      </c>
      <c r="I8">
        <v>2964</v>
      </c>
      <c r="J8" t="s">
        <v>12</v>
      </c>
      <c r="L8">
        <v>2204</v>
      </c>
      <c r="N8" t="s">
        <v>22</v>
      </c>
      <c r="O8" t="str">
        <f t="shared" si="0"/>
        <v>Tg(Isl1:gfp)</v>
      </c>
    </row>
    <row r="9" spans="1:16" x14ac:dyDescent="0.3">
      <c r="A9">
        <v>4007</v>
      </c>
      <c r="B9">
        <v>43187</v>
      </c>
      <c r="D9" t="s">
        <v>24</v>
      </c>
      <c r="G9">
        <v>15</v>
      </c>
      <c r="H9" t="s">
        <v>23</v>
      </c>
      <c r="I9">
        <v>2965</v>
      </c>
      <c r="J9" t="s">
        <v>12</v>
      </c>
      <c r="L9">
        <v>2128</v>
      </c>
      <c r="N9" t="s">
        <v>24</v>
      </c>
      <c r="O9" t="str">
        <f t="shared" si="0"/>
        <v>Tg(tnfa:gfp)</v>
      </c>
    </row>
    <row r="10" spans="1:16" x14ac:dyDescent="0.3">
      <c r="A10">
        <v>4008</v>
      </c>
      <c r="B10">
        <v>43187</v>
      </c>
      <c r="D10" t="s">
        <v>25</v>
      </c>
      <c r="E10" t="s">
        <v>26</v>
      </c>
      <c r="G10">
        <v>92</v>
      </c>
      <c r="H10" t="s">
        <v>27</v>
      </c>
      <c r="I10">
        <v>2895</v>
      </c>
      <c r="J10" t="s">
        <v>12</v>
      </c>
      <c r="L10">
        <v>2729</v>
      </c>
      <c r="N10" t="s">
        <v>28</v>
      </c>
      <c r="O10" t="str">
        <f t="shared" si="0"/>
        <v>Tg(pu1:Gal4)==Tg(UAS:GFP)</v>
      </c>
    </row>
    <row r="11" spans="1:16" x14ac:dyDescent="0.3">
      <c r="A11">
        <v>4009</v>
      </c>
      <c r="B11">
        <v>43187</v>
      </c>
      <c r="D11" t="s">
        <v>29</v>
      </c>
      <c r="G11">
        <v>38</v>
      </c>
      <c r="H11" t="s">
        <v>30</v>
      </c>
      <c r="I11">
        <v>2895</v>
      </c>
      <c r="J11" t="s">
        <v>12</v>
      </c>
      <c r="L11">
        <v>2874</v>
      </c>
      <c r="N11" t="s">
        <v>29</v>
      </c>
      <c r="O11" t="str">
        <f t="shared" si="0"/>
        <v>Tg(pBH-UAS:secA5-YFP)</v>
      </c>
    </row>
    <row r="12" spans="1:16" x14ac:dyDescent="0.3">
      <c r="A12">
        <v>4010</v>
      </c>
      <c r="B12">
        <v>43187</v>
      </c>
      <c r="D12" t="s">
        <v>31</v>
      </c>
      <c r="G12">
        <v>22</v>
      </c>
      <c r="H12" t="s">
        <v>27</v>
      </c>
      <c r="I12">
        <v>2895</v>
      </c>
      <c r="J12" t="s">
        <v>12</v>
      </c>
      <c r="L12">
        <v>2363</v>
      </c>
      <c r="N12" t="s">
        <v>31</v>
      </c>
      <c r="O12" t="str">
        <f t="shared" si="0"/>
        <v>Tg(nkx2.2a:nls-mCherry)</v>
      </c>
    </row>
    <row r="13" spans="1:16" x14ac:dyDescent="0.3">
      <c r="A13">
        <v>4011</v>
      </c>
      <c r="B13">
        <v>43187</v>
      </c>
      <c r="D13" t="s">
        <v>32</v>
      </c>
      <c r="G13">
        <v>33</v>
      </c>
      <c r="H13" t="s">
        <v>30</v>
      </c>
      <c r="I13">
        <v>2895</v>
      </c>
      <c r="J13" t="s">
        <v>12</v>
      </c>
      <c r="L13">
        <v>2069</v>
      </c>
      <c r="N13" t="s">
        <v>32</v>
      </c>
      <c r="O13" t="str">
        <f t="shared" si="0"/>
        <v>Tg(nkx2.2a:nls-EGFP)</v>
      </c>
    </row>
    <row r="14" spans="1:16" x14ac:dyDescent="0.3">
      <c r="A14">
        <v>4012</v>
      </c>
      <c r="B14">
        <v>43187</v>
      </c>
      <c r="D14" t="s">
        <v>32</v>
      </c>
      <c r="G14">
        <v>28</v>
      </c>
      <c r="H14" t="s">
        <v>27</v>
      </c>
      <c r="I14">
        <v>2895</v>
      </c>
      <c r="J14" t="s">
        <v>12</v>
      </c>
      <c r="L14">
        <v>2069</v>
      </c>
      <c r="N14" t="s">
        <v>32</v>
      </c>
      <c r="O14" t="str">
        <f t="shared" si="0"/>
        <v>Tg(nkx2.2a:nls-EGFP)</v>
      </c>
    </row>
    <row r="15" spans="1:16" x14ac:dyDescent="0.3">
      <c r="A15">
        <v>4013</v>
      </c>
      <c r="B15">
        <v>43187</v>
      </c>
      <c r="C15" t="s">
        <v>12</v>
      </c>
      <c r="G15">
        <v>31</v>
      </c>
      <c r="H15" t="s">
        <v>33</v>
      </c>
      <c r="I15">
        <v>2895</v>
      </c>
      <c r="J15" t="s">
        <v>12</v>
      </c>
      <c r="L15">
        <v>2069</v>
      </c>
      <c r="N15" t="s">
        <v>32</v>
      </c>
      <c r="O15" t="str">
        <f t="shared" si="0"/>
        <v>AB*</v>
      </c>
    </row>
    <row r="16" spans="1:16" x14ac:dyDescent="0.3">
      <c r="A16">
        <v>4014</v>
      </c>
      <c r="B16">
        <v>43187</v>
      </c>
      <c r="D16" t="s">
        <v>34</v>
      </c>
      <c r="G16">
        <v>1</v>
      </c>
      <c r="H16" t="s">
        <v>33</v>
      </c>
      <c r="I16">
        <v>2576</v>
      </c>
      <c r="K16" t="s">
        <v>35</v>
      </c>
      <c r="L16">
        <v>2895</v>
      </c>
      <c r="M16" t="s">
        <v>12</v>
      </c>
      <c r="O16" t="str">
        <f t="shared" si="0"/>
        <v>Tg(sox10:TagRFP) F1</v>
      </c>
    </row>
    <row r="17" spans="1:15" x14ac:dyDescent="0.3">
      <c r="A17">
        <v>4015</v>
      </c>
      <c r="B17">
        <v>43187</v>
      </c>
      <c r="C17" t="s">
        <v>36</v>
      </c>
      <c r="D17" t="s">
        <v>37</v>
      </c>
      <c r="E17" t="s">
        <v>38</v>
      </c>
      <c r="G17">
        <v>50</v>
      </c>
      <c r="H17" t="s">
        <v>39</v>
      </c>
      <c r="I17">
        <v>2807</v>
      </c>
      <c r="J17" t="s">
        <v>40</v>
      </c>
      <c r="K17" t="s">
        <v>41</v>
      </c>
      <c r="L17">
        <v>2807</v>
      </c>
      <c r="M17" t="s">
        <v>40</v>
      </c>
      <c r="N17" t="s">
        <v>41</v>
      </c>
      <c r="O17" t="str">
        <f t="shared" si="0"/>
        <v>Ray +/-;+/+==Tg(sox10:mrfp)==Tg(nkx2.2a:megfp)</v>
      </c>
    </row>
    <row r="18" spans="1:15" x14ac:dyDescent="0.3">
      <c r="A18">
        <v>4016</v>
      </c>
      <c r="B18">
        <v>43187</v>
      </c>
      <c r="C18" t="s">
        <v>36</v>
      </c>
      <c r="D18" t="s">
        <v>38</v>
      </c>
      <c r="G18">
        <v>50</v>
      </c>
      <c r="H18" t="s">
        <v>39</v>
      </c>
      <c r="I18">
        <v>2799</v>
      </c>
      <c r="J18" t="s">
        <v>40</v>
      </c>
      <c r="K18" t="s">
        <v>38</v>
      </c>
      <c r="L18">
        <v>2799</v>
      </c>
      <c r="M18" t="s">
        <v>40</v>
      </c>
      <c r="N18" t="s">
        <v>38</v>
      </c>
      <c r="O18" t="str">
        <f t="shared" si="0"/>
        <v>Ray +/-;+/+==Tg(nkx2.2a:megfp)</v>
      </c>
    </row>
    <row r="19" spans="1:15" x14ac:dyDescent="0.3">
      <c r="A19">
        <v>4017</v>
      </c>
      <c r="B19">
        <v>43187</v>
      </c>
      <c r="C19" t="s">
        <v>42</v>
      </c>
      <c r="D19" t="s">
        <v>38</v>
      </c>
      <c r="G19">
        <v>50</v>
      </c>
      <c r="H19" t="s">
        <v>39</v>
      </c>
      <c r="I19">
        <v>2734</v>
      </c>
      <c r="J19" t="s">
        <v>43</v>
      </c>
      <c r="K19" t="s">
        <v>38</v>
      </c>
      <c r="L19">
        <v>2734</v>
      </c>
      <c r="M19" t="s">
        <v>43</v>
      </c>
      <c r="N19" t="s">
        <v>38</v>
      </c>
      <c r="O19" t="str">
        <f t="shared" si="0"/>
        <v>SJL+/-;+/+==Tg(nkx2.2a:megfp)</v>
      </c>
    </row>
    <row r="20" spans="1:15" x14ac:dyDescent="0.3">
      <c r="A20">
        <v>4018</v>
      </c>
      <c r="B20">
        <v>43187</v>
      </c>
      <c r="C20" t="s">
        <v>36</v>
      </c>
      <c r="D20" t="s">
        <v>44</v>
      </c>
      <c r="G20">
        <v>75</v>
      </c>
      <c r="H20" t="s">
        <v>39</v>
      </c>
      <c r="I20">
        <v>2345</v>
      </c>
      <c r="J20" t="s">
        <v>40</v>
      </c>
      <c r="K20" t="s">
        <v>44</v>
      </c>
      <c r="L20">
        <v>2345</v>
      </c>
      <c r="M20" t="s">
        <v>40</v>
      </c>
      <c r="N20" t="s">
        <v>44</v>
      </c>
      <c r="O20" t="str">
        <f t="shared" si="0"/>
        <v>Ray +/-;+/+==Tg(hb9:egfp)</v>
      </c>
    </row>
    <row r="21" spans="1:15" x14ac:dyDescent="0.3">
      <c r="A21">
        <v>4019</v>
      </c>
      <c r="B21">
        <v>43187</v>
      </c>
      <c r="C21" t="s">
        <v>36</v>
      </c>
      <c r="D21" t="s">
        <v>44</v>
      </c>
      <c r="G21">
        <v>75</v>
      </c>
      <c r="H21" t="s">
        <v>39</v>
      </c>
      <c r="I21">
        <v>2345</v>
      </c>
      <c r="J21" t="s">
        <v>40</v>
      </c>
      <c r="K21" t="s">
        <v>44</v>
      </c>
      <c r="L21">
        <v>2345</v>
      </c>
      <c r="M21" t="s">
        <v>40</v>
      </c>
      <c r="N21" t="s">
        <v>44</v>
      </c>
      <c r="O21" t="str">
        <f t="shared" si="0"/>
        <v>Ray +/-;+/+==Tg(hb9:egfp)</v>
      </c>
    </row>
    <row r="22" spans="1:15" x14ac:dyDescent="0.3">
      <c r="A22">
        <v>4020</v>
      </c>
      <c r="B22">
        <v>43187</v>
      </c>
      <c r="C22" t="s">
        <v>36</v>
      </c>
      <c r="D22" t="s">
        <v>44</v>
      </c>
      <c r="G22">
        <v>75</v>
      </c>
      <c r="H22" t="s">
        <v>39</v>
      </c>
      <c r="I22">
        <v>2345</v>
      </c>
      <c r="J22" t="s">
        <v>40</v>
      </c>
      <c r="K22" t="s">
        <v>44</v>
      </c>
      <c r="L22">
        <v>2345</v>
      </c>
      <c r="M22" t="s">
        <v>40</v>
      </c>
      <c r="N22" t="s">
        <v>44</v>
      </c>
      <c r="O22" t="str">
        <f t="shared" si="0"/>
        <v>Ray +/-;+/+==Tg(hb9:egfp)</v>
      </c>
    </row>
    <row r="23" spans="1:15" x14ac:dyDescent="0.3">
      <c r="A23">
        <v>4021</v>
      </c>
      <c r="B23">
        <v>43187</v>
      </c>
      <c r="C23" t="s">
        <v>36</v>
      </c>
      <c r="D23" t="s">
        <v>37</v>
      </c>
      <c r="G23">
        <v>75</v>
      </c>
      <c r="H23" t="s">
        <v>39</v>
      </c>
      <c r="I23">
        <v>2921</v>
      </c>
      <c r="J23" t="s">
        <v>40</v>
      </c>
      <c r="K23" t="s">
        <v>37</v>
      </c>
      <c r="L23">
        <v>2921</v>
      </c>
      <c r="M23" t="s">
        <v>40</v>
      </c>
      <c r="N23" t="s">
        <v>37</v>
      </c>
      <c r="O23" t="str">
        <f t="shared" si="0"/>
        <v>Ray +/-;+/+==Tg(sox10:mrfp)</v>
      </c>
    </row>
    <row r="24" spans="1:15" x14ac:dyDescent="0.3">
      <c r="A24">
        <v>4022</v>
      </c>
      <c r="B24">
        <v>43187</v>
      </c>
      <c r="C24" t="s">
        <v>36</v>
      </c>
      <c r="G24">
        <v>75</v>
      </c>
      <c r="H24" t="s">
        <v>39</v>
      </c>
      <c r="I24">
        <v>2817</v>
      </c>
      <c r="J24" t="s">
        <v>40</v>
      </c>
      <c r="L24">
        <v>2817</v>
      </c>
      <c r="M24" t="s">
        <v>40</v>
      </c>
      <c r="O24" t="str">
        <f t="shared" si="0"/>
        <v>Ray +/-;+/+</v>
      </c>
    </row>
    <row r="25" spans="1:15" x14ac:dyDescent="0.3">
      <c r="A25">
        <v>4023</v>
      </c>
      <c r="B25">
        <v>43187</v>
      </c>
      <c r="C25" t="s">
        <v>36</v>
      </c>
      <c r="G25">
        <v>75</v>
      </c>
      <c r="H25" t="s">
        <v>39</v>
      </c>
      <c r="I25">
        <v>2817</v>
      </c>
      <c r="J25" t="s">
        <v>40</v>
      </c>
      <c r="L25">
        <v>2817</v>
      </c>
      <c r="M25" t="s">
        <v>40</v>
      </c>
      <c r="O25" t="str">
        <f t="shared" si="0"/>
        <v>Ray +/-;+/+</v>
      </c>
    </row>
    <row r="26" spans="1:15" x14ac:dyDescent="0.3">
      <c r="A26">
        <v>4024</v>
      </c>
      <c r="B26">
        <v>43187</v>
      </c>
      <c r="C26" t="s">
        <v>36</v>
      </c>
      <c r="G26">
        <v>75</v>
      </c>
      <c r="H26" t="s">
        <v>39</v>
      </c>
      <c r="I26">
        <v>2817</v>
      </c>
      <c r="J26" t="s">
        <v>40</v>
      </c>
      <c r="L26">
        <v>2817</v>
      </c>
      <c r="M26" t="s">
        <v>40</v>
      </c>
      <c r="O26" t="str">
        <f t="shared" si="0"/>
        <v>Ray +/-;+/+</v>
      </c>
    </row>
    <row r="27" spans="1:15" x14ac:dyDescent="0.3">
      <c r="A27">
        <v>4025</v>
      </c>
      <c r="B27">
        <v>43187</v>
      </c>
      <c r="C27" t="s">
        <v>36</v>
      </c>
      <c r="G27">
        <v>75</v>
      </c>
      <c r="H27" t="s">
        <v>39</v>
      </c>
      <c r="I27">
        <v>2817</v>
      </c>
      <c r="J27" t="s">
        <v>40</v>
      </c>
      <c r="L27">
        <v>2817</v>
      </c>
      <c r="M27" t="s">
        <v>40</v>
      </c>
      <c r="O27" t="str">
        <f t="shared" si="0"/>
        <v>Ray +/-;+/+</v>
      </c>
    </row>
    <row r="28" spans="1:15" x14ac:dyDescent="0.3">
      <c r="A28">
        <v>4026</v>
      </c>
      <c r="B28">
        <v>43187</v>
      </c>
      <c r="C28" t="s">
        <v>36</v>
      </c>
      <c r="G28">
        <v>75</v>
      </c>
      <c r="H28" t="s">
        <v>39</v>
      </c>
      <c r="I28">
        <v>2817</v>
      </c>
      <c r="J28" t="s">
        <v>40</v>
      </c>
      <c r="L28">
        <v>2817</v>
      </c>
      <c r="M28" t="s">
        <v>40</v>
      </c>
      <c r="O28" t="str">
        <f t="shared" si="0"/>
        <v>Ray +/-;+/+</v>
      </c>
    </row>
    <row r="29" spans="1:15" x14ac:dyDescent="0.3">
      <c r="A29">
        <v>4027</v>
      </c>
      <c r="B29">
        <v>43187</v>
      </c>
      <c r="C29" t="s">
        <v>36</v>
      </c>
      <c r="G29">
        <v>75</v>
      </c>
      <c r="H29" t="s">
        <v>39</v>
      </c>
      <c r="I29">
        <v>2817</v>
      </c>
      <c r="J29" t="s">
        <v>40</v>
      </c>
      <c r="L29">
        <v>2817</v>
      </c>
      <c r="M29" t="s">
        <v>40</v>
      </c>
      <c r="O29" t="str">
        <f t="shared" si="0"/>
        <v>Ray +/-;+/+</v>
      </c>
    </row>
    <row r="30" spans="1:15" x14ac:dyDescent="0.3">
      <c r="A30">
        <v>4028</v>
      </c>
      <c r="B30">
        <v>43187</v>
      </c>
      <c r="C30" t="s">
        <v>36</v>
      </c>
      <c r="G30">
        <v>75</v>
      </c>
      <c r="H30" t="s">
        <v>39</v>
      </c>
      <c r="I30">
        <v>2817</v>
      </c>
      <c r="J30" t="s">
        <v>40</v>
      </c>
      <c r="L30">
        <v>2817</v>
      </c>
      <c r="M30" t="s">
        <v>40</v>
      </c>
      <c r="O30" t="str">
        <f t="shared" si="0"/>
        <v>Ray +/-;+/+</v>
      </c>
    </row>
    <row r="31" spans="1:15" x14ac:dyDescent="0.3">
      <c r="A31">
        <v>4029</v>
      </c>
      <c r="B31">
        <v>43187</v>
      </c>
      <c r="C31" t="s">
        <v>36</v>
      </c>
      <c r="G31">
        <v>75</v>
      </c>
      <c r="H31" t="s">
        <v>39</v>
      </c>
      <c r="I31">
        <v>2817</v>
      </c>
      <c r="J31" t="s">
        <v>40</v>
      </c>
      <c r="L31">
        <v>2817</v>
      </c>
      <c r="M31" t="s">
        <v>40</v>
      </c>
      <c r="O31" t="str">
        <f t="shared" si="0"/>
        <v>Ray +/-;+/+</v>
      </c>
    </row>
    <row r="32" spans="1:15" x14ac:dyDescent="0.3">
      <c r="A32">
        <v>4030</v>
      </c>
      <c r="B32">
        <v>43187</v>
      </c>
      <c r="D32" t="s">
        <v>45</v>
      </c>
      <c r="G32">
        <v>75</v>
      </c>
      <c r="H32" t="s">
        <v>46</v>
      </c>
      <c r="I32">
        <v>2927</v>
      </c>
      <c r="J32" t="s">
        <v>12</v>
      </c>
      <c r="L32">
        <v>2464</v>
      </c>
      <c r="N32" t="s">
        <v>45</v>
      </c>
      <c r="O32" t="str">
        <f t="shared" si="0"/>
        <v>tg(isl1:rfp)</v>
      </c>
    </row>
    <row r="33" spans="1:15" x14ac:dyDescent="0.3">
      <c r="A33">
        <v>4031</v>
      </c>
      <c r="B33">
        <v>43187</v>
      </c>
      <c r="D33" t="s">
        <v>47</v>
      </c>
      <c r="G33">
        <v>75</v>
      </c>
      <c r="H33" t="s">
        <v>46</v>
      </c>
      <c r="I33">
        <v>2447</v>
      </c>
      <c r="K33" t="s">
        <v>47</v>
      </c>
      <c r="L33">
        <v>2666</v>
      </c>
      <c r="M33" t="s">
        <v>12</v>
      </c>
      <c r="O33" t="str">
        <f t="shared" si="0"/>
        <v>tg(nbt:dsred)</v>
      </c>
    </row>
    <row r="34" spans="1:15" x14ac:dyDescent="0.3">
      <c r="A34">
        <v>4032</v>
      </c>
      <c r="B34">
        <v>43187</v>
      </c>
      <c r="C34" t="s">
        <v>48</v>
      </c>
      <c r="D34" t="s">
        <v>49</v>
      </c>
      <c r="G34">
        <v>75</v>
      </c>
      <c r="H34" t="s">
        <v>50</v>
      </c>
      <c r="J34" t="s">
        <v>51</v>
      </c>
      <c r="K34" t="s">
        <v>47</v>
      </c>
      <c r="M34" t="s">
        <v>51</v>
      </c>
      <c r="N34" t="s">
        <v>49</v>
      </c>
      <c r="O34" t="str">
        <f t="shared" si="0"/>
        <v>plexinA3 +/+;+/-;-/-==tg(sox10:nls-eos)</v>
      </c>
    </row>
    <row r="35" spans="1:15" x14ac:dyDescent="0.3">
      <c r="A35">
        <v>4033</v>
      </c>
      <c r="B35">
        <v>43187</v>
      </c>
      <c r="C35" t="s">
        <v>48</v>
      </c>
      <c r="D35" t="s">
        <v>47</v>
      </c>
      <c r="G35">
        <v>15</v>
      </c>
      <c r="H35" t="s">
        <v>50</v>
      </c>
      <c r="J35" t="s">
        <v>51</v>
      </c>
      <c r="K35" t="s">
        <v>47</v>
      </c>
      <c r="M35" t="s">
        <v>51</v>
      </c>
      <c r="N35" t="s">
        <v>49</v>
      </c>
      <c r="O35" t="str">
        <f t="shared" si="0"/>
        <v>plexinA3 +/+;+/-;-/-==tg(nbt:dsred)</v>
      </c>
    </row>
    <row r="36" spans="1:15" x14ac:dyDescent="0.3">
      <c r="A36">
        <v>4034</v>
      </c>
      <c r="B36">
        <v>43187</v>
      </c>
      <c r="C36" t="s">
        <v>48</v>
      </c>
      <c r="D36" t="s">
        <v>47</v>
      </c>
      <c r="E36" t="s">
        <v>49</v>
      </c>
      <c r="G36">
        <v>20</v>
      </c>
      <c r="H36" t="s">
        <v>50</v>
      </c>
      <c r="J36" t="s">
        <v>51</v>
      </c>
      <c r="K36" t="s">
        <v>47</v>
      </c>
      <c r="M36" t="s">
        <v>51</v>
      </c>
      <c r="N36" t="s">
        <v>49</v>
      </c>
      <c r="O36" t="str">
        <f t="shared" si="0"/>
        <v>plexinA3 +/+;+/-;-/-==tg(nbt:dsred)==tg(sox10:nls-eos)</v>
      </c>
    </row>
    <row r="37" spans="1:15" x14ac:dyDescent="0.3">
      <c r="A37">
        <v>4035</v>
      </c>
      <c r="B37">
        <v>43187</v>
      </c>
      <c r="C37" t="s">
        <v>52</v>
      </c>
      <c r="H37" t="s">
        <v>39</v>
      </c>
      <c r="I37">
        <v>3058</v>
      </c>
      <c r="J37" t="s">
        <v>53</v>
      </c>
      <c r="L37">
        <v>3071</v>
      </c>
      <c r="M37" t="s">
        <v>53</v>
      </c>
      <c r="O37" t="str">
        <f t="shared" si="0"/>
        <v>Casper</v>
      </c>
    </row>
    <row r="38" spans="1:15" x14ac:dyDescent="0.3">
      <c r="A38">
        <v>4036</v>
      </c>
      <c r="B38">
        <v>43187</v>
      </c>
      <c r="D38" t="s">
        <v>54</v>
      </c>
      <c r="G38">
        <v>50</v>
      </c>
      <c r="H38" t="s">
        <v>50</v>
      </c>
      <c r="I38">
        <v>2927</v>
      </c>
      <c r="J38" t="s">
        <v>12</v>
      </c>
      <c r="L38">
        <v>3052</v>
      </c>
      <c r="N38" t="s">
        <v>54</v>
      </c>
      <c r="O38" t="str">
        <f t="shared" si="0"/>
        <v>tg(hb9:tagYFP-NTR)</v>
      </c>
    </row>
    <row r="39" spans="1:15" x14ac:dyDescent="0.3">
      <c r="A39">
        <v>4037</v>
      </c>
      <c r="B39">
        <v>43187</v>
      </c>
      <c r="C39" t="s">
        <v>55</v>
      </c>
      <c r="G39">
        <v>75</v>
      </c>
      <c r="H39" t="s">
        <v>50</v>
      </c>
      <c r="I39">
        <v>2670</v>
      </c>
      <c r="J39" t="s">
        <v>56</v>
      </c>
      <c r="L39">
        <v>2670</v>
      </c>
      <c r="M39" t="s">
        <v>56</v>
      </c>
      <c r="O39" t="str">
        <f t="shared" si="0"/>
        <v>nrg1 z26 +/+;+/-;-/-</v>
      </c>
    </row>
    <row r="40" spans="1:15" x14ac:dyDescent="0.3">
      <c r="A40">
        <v>4038</v>
      </c>
      <c r="B40">
        <v>43187</v>
      </c>
      <c r="C40" t="s">
        <v>55</v>
      </c>
      <c r="D40" t="s">
        <v>57</v>
      </c>
      <c r="G40">
        <v>20</v>
      </c>
      <c r="H40" t="s">
        <v>50</v>
      </c>
      <c r="I40">
        <v>2670</v>
      </c>
      <c r="J40" t="s">
        <v>56</v>
      </c>
      <c r="L40">
        <v>2976</v>
      </c>
      <c r="M40" t="s">
        <v>56</v>
      </c>
      <c r="N40" t="s">
        <v>57</v>
      </c>
      <c r="O40" t="str">
        <f t="shared" si="0"/>
        <v>nrg1 z26 +/+;+/-;-/-==tg(sox10:eos)</v>
      </c>
    </row>
    <row r="41" spans="1:15" x14ac:dyDescent="0.3">
      <c r="A41">
        <v>4039</v>
      </c>
      <c r="B41">
        <v>43187</v>
      </c>
      <c r="D41" t="s">
        <v>58</v>
      </c>
      <c r="E41" t="s">
        <v>59</v>
      </c>
      <c r="G41">
        <v>50</v>
      </c>
      <c r="H41" t="s">
        <v>50</v>
      </c>
      <c r="K41" t="s">
        <v>60</v>
      </c>
      <c r="N41" t="s">
        <v>60</v>
      </c>
      <c r="O41" t="str">
        <f t="shared" si="0"/>
        <v>tg(sox10:gal4)==tg(UAS:lifeAct-GFP)</v>
      </c>
    </row>
    <row r="42" spans="1:15" x14ac:dyDescent="0.3">
      <c r="A42">
        <v>4040</v>
      </c>
      <c r="B42">
        <v>43187</v>
      </c>
      <c r="D42" t="s">
        <v>49</v>
      </c>
      <c r="G42">
        <v>50</v>
      </c>
      <c r="H42" t="s">
        <v>50</v>
      </c>
      <c r="I42">
        <v>2462</v>
      </c>
      <c r="K42" t="s">
        <v>49</v>
      </c>
      <c r="L42">
        <v>2927</v>
      </c>
      <c r="M42" t="s">
        <v>12</v>
      </c>
      <c r="O42" t="str">
        <f t="shared" si="0"/>
        <v>tg(sox10:nls-eos)</v>
      </c>
    </row>
    <row r="43" spans="1:15" x14ac:dyDescent="0.3">
      <c r="A43">
        <v>4041</v>
      </c>
      <c r="B43">
        <v>43187</v>
      </c>
      <c r="D43" t="s">
        <v>61</v>
      </c>
      <c r="G43">
        <v>50</v>
      </c>
      <c r="H43" t="s">
        <v>50</v>
      </c>
      <c r="I43">
        <v>2768</v>
      </c>
      <c r="K43" t="s">
        <v>61</v>
      </c>
      <c r="L43">
        <v>2768</v>
      </c>
      <c r="N43" t="s">
        <v>61</v>
      </c>
      <c r="O43" t="str">
        <f t="shared" si="0"/>
        <v>tg(UAS:hNrg1typeIII)</v>
      </c>
    </row>
    <row r="44" spans="1:15" x14ac:dyDescent="0.3">
      <c r="A44">
        <v>4042</v>
      </c>
      <c r="B44">
        <v>43187</v>
      </c>
      <c r="C44" t="s">
        <v>12</v>
      </c>
      <c r="H44" t="s">
        <v>39</v>
      </c>
      <c r="I44">
        <v>3044</v>
      </c>
      <c r="J44" t="s">
        <v>12</v>
      </c>
      <c r="L44">
        <v>3044</v>
      </c>
      <c r="M44" t="s">
        <v>12</v>
      </c>
      <c r="O44" t="str">
        <f t="shared" si="0"/>
        <v>AB*</v>
      </c>
    </row>
    <row r="45" spans="1:15" x14ac:dyDescent="0.3">
      <c r="A45">
        <v>4043</v>
      </c>
      <c r="B45">
        <v>43187</v>
      </c>
      <c r="C45" t="s">
        <v>12</v>
      </c>
      <c r="H45" t="s">
        <v>39</v>
      </c>
      <c r="I45">
        <v>3044</v>
      </c>
      <c r="J45" t="s">
        <v>12</v>
      </c>
      <c r="L45">
        <v>3044</v>
      </c>
      <c r="M45" t="s">
        <v>12</v>
      </c>
      <c r="O45" t="str">
        <f t="shared" si="0"/>
        <v>AB*</v>
      </c>
    </row>
    <row r="46" spans="1:15" x14ac:dyDescent="0.3">
      <c r="A46">
        <v>4044</v>
      </c>
      <c r="B46">
        <v>43187</v>
      </c>
      <c r="C46" t="s">
        <v>12</v>
      </c>
      <c r="H46" t="s">
        <v>39</v>
      </c>
      <c r="I46">
        <v>2946</v>
      </c>
      <c r="J46" t="s">
        <v>12</v>
      </c>
      <c r="L46">
        <v>2946</v>
      </c>
      <c r="M46" t="s">
        <v>12</v>
      </c>
      <c r="O46" t="str">
        <f t="shared" si="0"/>
        <v>AB*</v>
      </c>
    </row>
    <row r="47" spans="1:15" x14ac:dyDescent="0.3">
      <c r="A47">
        <v>4045</v>
      </c>
      <c r="B47">
        <v>43187</v>
      </c>
      <c r="C47" t="s">
        <v>12</v>
      </c>
      <c r="G47">
        <v>75</v>
      </c>
      <c r="H47" t="s">
        <v>50</v>
      </c>
      <c r="I47">
        <v>2664</v>
      </c>
      <c r="J47" t="s">
        <v>12</v>
      </c>
      <c r="L47">
        <v>2664</v>
      </c>
      <c r="M47" t="s">
        <v>12</v>
      </c>
      <c r="O47" t="str">
        <f t="shared" si="0"/>
        <v>AB*</v>
      </c>
    </row>
    <row r="48" spans="1:15" x14ac:dyDescent="0.3">
      <c r="A48">
        <v>4046</v>
      </c>
      <c r="B48">
        <v>43187</v>
      </c>
      <c r="C48" t="s">
        <v>62</v>
      </c>
      <c r="G48">
        <v>75</v>
      </c>
      <c r="H48" t="s">
        <v>50</v>
      </c>
      <c r="I48">
        <v>2891</v>
      </c>
      <c r="J48" t="s">
        <v>12</v>
      </c>
      <c r="L48">
        <v>2440</v>
      </c>
      <c r="M48" t="s">
        <v>63</v>
      </c>
      <c r="O48" t="str">
        <f t="shared" si="0"/>
        <v>lingo1b +/+;+/-</v>
      </c>
    </row>
    <row r="49" spans="1:15" x14ac:dyDescent="0.3">
      <c r="A49">
        <v>4047</v>
      </c>
      <c r="B49">
        <v>43187</v>
      </c>
      <c r="D49" t="s">
        <v>61</v>
      </c>
      <c r="E49" t="s">
        <v>49</v>
      </c>
      <c r="G49">
        <v>50</v>
      </c>
      <c r="H49" t="s">
        <v>50</v>
      </c>
      <c r="I49">
        <v>2768</v>
      </c>
      <c r="K49" t="s">
        <v>64</v>
      </c>
      <c r="L49">
        <v>2768</v>
      </c>
      <c r="N49" t="s">
        <v>64</v>
      </c>
      <c r="O49" t="str">
        <f t="shared" si="0"/>
        <v>tg(UAS:hNrg1typeIII)==tg(sox10:nls-eos)</v>
      </c>
    </row>
    <row r="50" spans="1:15" x14ac:dyDescent="0.3">
      <c r="A50">
        <v>4048</v>
      </c>
      <c r="B50">
        <v>43187</v>
      </c>
      <c r="D50" t="s">
        <v>57</v>
      </c>
      <c r="G50">
        <v>25</v>
      </c>
      <c r="H50" t="s">
        <v>50</v>
      </c>
      <c r="I50">
        <v>2463</v>
      </c>
      <c r="K50" t="s">
        <v>57</v>
      </c>
      <c r="L50">
        <v>2666</v>
      </c>
      <c r="M50" t="s">
        <v>12</v>
      </c>
      <c r="O50" t="str">
        <f t="shared" si="0"/>
        <v>tg(sox10:eos)</v>
      </c>
    </row>
    <row r="51" spans="1:15" x14ac:dyDescent="0.3">
      <c r="A51">
        <v>4049</v>
      </c>
      <c r="B51">
        <v>43187</v>
      </c>
      <c r="C51" t="s">
        <v>65</v>
      </c>
      <c r="G51">
        <v>50</v>
      </c>
      <c r="H51" t="s">
        <v>50</v>
      </c>
      <c r="I51">
        <v>2891</v>
      </c>
      <c r="J51" t="s">
        <v>12</v>
      </c>
      <c r="L51">
        <v>2830</v>
      </c>
      <c r="M51" t="s">
        <v>66</v>
      </c>
      <c r="N51" t="s">
        <v>57</v>
      </c>
      <c r="O51" t="str">
        <f t="shared" si="0"/>
        <v>lingo1a +/+;+/-</v>
      </c>
    </row>
    <row r="52" spans="1:15" x14ac:dyDescent="0.3">
      <c r="A52">
        <v>4050</v>
      </c>
      <c r="B52">
        <v>43187</v>
      </c>
      <c r="C52" t="s">
        <v>65</v>
      </c>
      <c r="D52" t="s">
        <v>57</v>
      </c>
      <c r="G52">
        <v>50</v>
      </c>
      <c r="H52" t="s">
        <v>50</v>
      </c>
      <c r="I52">
        <v>2891</v>
      </c>
      <c r="J52" t="s">
        <v>12</v>
      </c>
      <c r="L52">
        <v>2830</v>
      </c>
      <c r="M52" t="s">
        <v>66</v>
      </c>
      <c r="N52" t="s">
        <v>57</v>
      </c>
      <c r="O52" t="str">
        <f t="shared" si="0"/>
        <v>lingo1a +/+;+/-==tg(sox10:eos)</v>
      </c>
    </row>
    <row r="53" spans="1:15" x14ac:dyDescent="0.3">
      <c r="A53">
        <v>4051</v>
      </c>
      <c r="B53">
        <v>43187</v>
      </c>
      <c r="C53" t="s">
        <v>67</v>
      </c>
      <c r="D53" t="s">
        <v>49</v>
      </c>
      <c r="G53">
        <v>75</v>
      </c>
      <c r="H53" t="s">
        <v>50</v>
      </c>
      <c r="I53">
        <v>2247</v>
      </c>
      <c r="J53" t="s">
        <v>68</v>
      </c>
      <c r="K53" t="s">
        <v>49</v>
      </c>
      <c r="L53">
        <v>2247</v>
      </c>
      <c r="M53" t="s">
        <v>69</v>
      </c>
      <c r="N53" t="s">
        <v>49</v>
      </c>
      <c r="O53" t="str">
        <f t="shared" si="0"/>
        <v>erbb3b st48 +/+;+/-;-/-==tg(sox10:nls-eos)</v>
      </c>
    </row>
    <row r="54" spans="1:15" x14ac:dyDescent="0.3">
      <c r="A54">
        <v>4052</v>
      </c>
      <c r="B54">
        <v>43187</v>
      </c>
      <c r="C54" t="s">
        <v>67</v>
      </c>
      <c r="G54">
        <v>50</v>
      </c>
      <c r="H54" t="s">
        <v>50</v>
      </c>
      <c r="I54">
        <v>2247</v>
      </c>
      <c r="J54" t="s">
        <v>68</v>
      </c>
      <c r="K54" t="s">
        <v>49</v>
      </c>
      <c r="L54">
        <v>2247</v>
      </c>
      <c r="M54" t="s">
        <v>69</v>
      </c>
      <c r="N54" t="s">
        <v>49</v>
      </c>
      <c r="O54" t="str">
        <f t="shared" si="0"/>
        <v>erbb3b st48 +/+;+/-;-/-</v>
      </c>
    </row>
    <row r="55" spans="1:15" x14ac:dyDescent="0.3">
      <c r="A55">
        <v>4053</v>
      </c>
      <c r="B55">
        <v>43187</v>
      </c>
      <c r="C55" t="s">
        <v>65</v>
      </c>
      <c r="D55" t="s">
        <v>70</v>
      </c>
      <c r="G55">
        <v>50</v>
      </c>
      <c r="H55" t="s">
        <v>50</v>
      </c>
      <c r="I55">
        <v>2927</v>
      </c>
      <c r="J55" t="s">
        <v>12</v>
      </c>
      <c r="L55">
        <v>2757</v>
      </c>
      <c r="M55" t="s">
        <v>65</v>
      </c>
      <c r="N55" t="s">
        <v>70</v>
      </c>
      <c r="O55" t="str">
        <f t="shared" si="0"/>
        <v>lingo1a +/+;+/-==tg(olig2:dsred2)</v>
      </c>
    </row>
    <row r="56" spans="1:15" x14ac:dyDescent="0.3">
      <c r="A56">
        <v>4054</v>
      </c>
      <c r="B56">
        <v>43187</v>
      </c>
      <c r="C56" t="s">
        <v>65</v>
      </c>
      <c r="G56">
        <v>75</v>
      </c>
      <c r="H56" t="s">
        <v>50</v>
      </c>
      <c r="I56">
        <v>2927</v>
      </c>
      <c r="J56" t="s">
        <v>12</v>
      </c>
      <c r="L56">
        <v>2757</v>
      </c>
      <c r="M56" t="s">
        <v>65</v>
      </c>
      <c r="N56" t="s">
        <v>70</v>
      </c>
      <c r="O56" t="str">
        <f t="shared" si="0"/>
        <v>lingo1a +/+;+/-</v>
      </c>
    </row>
    <row r="57" spans="1:15" x14ac:dyDescent="0.3">
      <c r="A57">
        <v>4055</v>
      </c>
      <c r="B57">
        <v>43187</v>
      </c>
      <c r="D57" t="s">
        <v>71</v>
      </c>
      <c r="G57">
        <v>50</v>
      </c>
      <c r="H57" t="s">
        <v>50</v>
      </c>
      <c r="I57">
        <v>2691</v>
      </c>
      <c r="K57" t="s">
        <v>71</v>
      </c>
      <c r="L57">
        <v>2691</v>
      </c>
      <c r="N57" t="s">
        <v>71</v>
      </c>
      <c r="O57" t="str">
        <f t="shared" si="0"/>
        <v>tg(mnx1:mcerulean)</v>
      </c>
    </row>
    <row r="58" spans="1:15" x14ac:dyDescent="0.3">
      <c r="A58">
        <v>4056</v>
      </c>
      <c r="B58">
        <v>43187</v>
      </c>
      <c r="D58" t="s">
        <v>71</v>
      </c>
      <c r="G58">
        <v>50</v>
      </c>
      <c r="H58" t="s">
        <v>50</v>
      </c>
      <c r="I58">
        <v>2691</v>
      </c>
      <c r="K58" t="s">
        <v>71</v>
      </c>
      <c r="L58">
        <v>2691</v>
      </c>
      <c r="N58" t="s">
        <v>71</v>
      </c>
      <c r="O58" t="str">
        <f t="shared" si="0"/>
        <v>tg(mnx1:mcerulean)</v>
      </c>
    </row>
    <row r="59" spans="1:15" x14ac:dyDescent="0.3">
      <c r="A59">
        <v>4057</v>
      </c>
      <c r="B59">
        <v>43187</v>
      </c>
      <c r="D59" t="s">
        <v>72</v>
      </c>
      <c r="E59" t="s">
        <v>73</v>
      </c>
      <c r="F59" t="s">
        <v>59</v>
      </c>
      <c r="G59">
        <v>75</v>
      </c>
      <c r="H59" t="s">
        <v>46</v>
      </c>
      <c r="K59" t="s">
        <v>74</v>
      </c>
      <c r="N59" t="s">
        <v>74</v>
      </c>
      <c r="O59" t="str">
        <f t="shared" si="0"/>
        <v>tg(sox10:gal4);(cmlc2:GFP)==tg(UAS:mcherry)==tg(UAS:lifeAct-GFP)</v>
      </c>
    </row>
    <row r="60" spans="1:15" x14ac:dyDescent="0.3">
      <c r="A60">
        <v>4058</v>
      </c>
      <c r="B60">
        <v>43187</v>
      </c>
      <c r="D60" t="s">
        <v>72</v>
      </c>
      <c r="E60" t="s">
        <v>73</v>
      </c>
      <c r="G60">
        <v>50</v>
      </c>
      <c r="H60" t="s">
        <v>50</v>
      </c>
      <c r="K60" t="s">
        <v>74</v>
      </c>
      <c r="N60" t="s">
        <v>74</v>
      </c>
      <c r="O60" t="str">
        <f t="shared" si="0"/>
        <v>tg(sox10:gal4);(cmlc2:GFP)==tg(UAS:mcherry)</v>
      </c>
    </row>
    <row r="61" spans="1:15" x14ac:dyDescent="0.3">
      <c r="A61">
        <v>4059</v>
      </c>
      <c r="B61">
        <v>43187</v>
      </c>
      <c r="D61" t="s">
        <v>49</v>
      </c>
      <c r="G61">
        <v>50</v>
      </c>
      <c r="H61" t="s">
        <v>50</v>
      </c>
      <c r="I61">
        <v>2462</v>
      </c>
      <c r="K61" t="s">
        <v>49</v>
      </c>
      <c r="L61">
        <v>2927</v>
      </c>
      <c r="M61" t="s">
        <v>12</v>
      </c>
      <c r="O61" t="str">
        <f t="shared" si="0"/>
        <v>tg(sox10:nls-eos)</v>
      </c>
    </row>
    <row r="62" spans="1:15" x14ac:dyDescent="0.3">
      <c r="A62">
        <v>4060</v>
      </c>
      <c r="B62">
        <v>43187</v>
      </c>
      <c r="D62" t="s">
        <v>75</v>
      </c>
      <c r="H62" t="s">
        <v>76</v>
      </c>
      <c r="I62">
        <v>2960</v>
      </c>
      <c r="K62" t="s">
        <v>12</v>
      </c>
      <c r="L62">
        <v>1787</v>
      </c>
      <c r="N62" t="s">
        <v>75</v>
      </c>
      <c r="O62" t="str">
        <f t="shared" si="0"/>
        <v>dbx-1:GFP</v>
      </c>
    </row>
    <row r="63" spans="1:15" x14ac:dyDescent="0.3">
      <c r="A63">
        <v>4061</v>
      </c>
      <c r="B63">
        <v>43187</v>
      </c>
      <c r="D63" t="s">
        <v>75</v>
      </c>
      <c r="H63" t="s">
        <v>76</v>
      </c>
      <c r="I63">
        <v>2960</v>
      </c>
      <c r="K63" t="s">
        <v>12</v>
      </c>
      <c r="L63">
        <v>1787</v>
      </c>
      <c r="N63" t="s">
        <v>75</v>
      </c>
      <c r="O63" t="str">
        <f t="shared" si="0"/>
        <v>dbx-1:GFP</v>
      </c>
    </row>
    <row r="64" spans="1:15" x14ac:dyDescent="0.3">
      <c r="A64">
        <v>4062</v>
      </c>
      <c r="B64">
        <v>43187</v>
      </c>
      <c r="D64" t="s">
        <v>75</v>
      </c>
      <c r="H64" t="s">
        <v>76</v>
      </c>
      <c r="I64">
        <v>2960</v>
      </c>
      <c r="K64" t="s">
        <v>12</v>
      </c>
      <c r="L64">
        <v>1787</v>
      </c>
      <c r="N64" t="s">
        <v>75</v>
      </c>
      <c r="O64" t="str">
        <f t="shared" si="0"/>
        <v>dbx-1:GFP</v>
      </c>
    </row>
    <row r="65" spans="1:15" x14ac:dyDescent="0.3">
      <c r="A65">
        <v>4063</v>
      </c>
      <c r="B65">
        <v>43187</v>
      </c>
      <c r="D65" t="s">
        <v>75</v>
      </c>
      <c r="H65" t="s">
        <v>76</v>
      </c>
      <c r="I65">
        <v>2960</v>
      </c>
      <c r="K65" t="s">
        <v>12</v>
      </c>
      <c r="L65">
        <v>1787</v>
      </c>
      <c r="N65" t="s">
        <v>75</v>
      </c>
      <c r="O65" t="str">
        <f t="shared" si="0"/>
        <v>dbx-1:GFP</v>
      </c>
    </row>
    <row r="66" spans="1:15" x14ac:dyDescent="0.3">
      <c r="A66">
        <v>4064</v>
      </c>
      <c r="B66">
        <v>43187</v>
      </c>
      <c r="D66" t="s">
        <v>75</v>
      </c>
      <c r="H66" t="s">
        <v>76</v>
      </c>
      <c r="I66">
        <v>2960</v>
      </c>
      <c r="K66" t="s">
        <v>12</v>
      </c>
      <c r="L66">
        <v>1787</v>
      </c>
      <c r="N66" t="s">
        <v>75</v>
      </c>
      <c r="O66" t="str">
        <f t="shared" si="0"/>
        <v>dbx-1:GFP</v>
      </c>
    </row>
    <row r="67" spans="1:15" x14ac:dyDescent="0.3">
      <c r="A67">
        <v>4065</v>
      </c>
      <c r="B67">
        <v>43187</v>
      </c>
      <c r="C67" t="s">
        <v>77</v>
      </c>
      <c r="H67" t="s">
        <v>76</v>
      </c>
      <c r="I67">
        <v>2770</v>
      </c>
      <c r="K67" t="s">
        <v>77</v>
      </c>
      <c r="L67">
        <v>2770</v>
      </c>
      <c r="N67" t="s">
        <v>77</v>
      </c>
      <c r="O67" t="str">
        <f t="shared" ref="O67:O130" si="1">TEXTJOIN("==",TRUE,C67:F67)</f>
        <v>cls (+/- ; -/-)</v>
      </c>
    </row>
    <row r="68" spans="1:15" x14ac:dyDescent="0.3">
      <c r="A68">
        <v>4066</v>
      </c>
      <c r="B68">
        <v>43187</v>
      </c>
      <c r="D68" t="s">
        <v>78</v>
      </c>
      <c r="H68" t="s">
        <v>76</v>
      </c>
      <c r="I68">
        <v>2960</v>
      </c>
      <c r="K68" t="s">
        <v>12</v>
      </c>
      <c r="L68">
        <v>1772</v>
      </c>
      <c r="N68" t="s">
        <v>78</v>
      </c>
      <c r="O68" t="str">
        <f t="shared" si="1"/>
        <v>nkx2.2a:meGFP</v>
      </c>
    </row>
    <row r="69" spans="1:15" x14ac:dyDescent="0.3">
      <c r="A69">
        <v>4067</v>
      </c>
      <c r="B69">
        <v>43187</v>
      </c>
      <c r="D69" t="s">
        <v>79</v>
      </c>
      <c r="H69" t="s">
        <v>76</v>
      </c>
      <c r="I69">
        <v>2960</v>
      </c>
      <c r="K69" t="s">
        <v>12</v>
      </c>
      <c r="L69">
        <v>2021</v>
      </c>
      <c r="N69" t="s">
        <v>79</v>
      </c>
      <c r="O69" t="str">
        <f t="shared" si="1"/>
        <v>tg(hb9:meGFP)</v>
      </c>
    </row>
    <row r="70" spans="1:15" x14ac:dyDescent="0.3">
      <c r="A70">
        <v>4068</v>
      </c>
      <c r="B70">
        <v>43194</v>
      </c>
      <c r="C70" t="s">
        <v>12</v>
      </c>
      <c r="H70" t="s">
        <v>80</v>
      </c>
      <c r="I70">
        <v>3044</v>
      </c>
      <c r="J70" t="s">
        <v>12</v>
      </c>
      <c r="L70">
        <v>3044</v>
      </c>
      <c r="M70" t="s">
        <v>12</v>
      </c>
      <c r="O70" t="str">
        <f t="shared" si="1"/>
        <v>AB*</v>
      </c>
    </row>
    <row r="71" spans="1:15" x14ac:dyDescent="0.3">
      <c r="A71">
        <v>4069</v>
      </c>
      <c r="B71">
        <v>43194</v>
      </c>
      <c r="C71" t="s">
        <v>12</v>
      </c>
      <c r="H71" t="s">
        <v>81</v>
      </c>
      <c r="I71">
        <v>3045</v>
      </c>
      <c r="J71" t="s">
        <v>12</v>
      </c>
      <c r="L71">
        <v>3045</v>
      </c>
      <c r="M71" t="s">
        <v>12</v>
      </c>
      <c r="O71" t="str">
        <f t="shared" si="1"/>
        <v>AB*</v>
      </c>
    </row>
    <row r="72" spans="1:15" x14ac:dyDescent="0.3">
      <c r="A72">
        <v>4070</v>
      </c>
      <c r="B72">
        <v>43194</v>
      </c>
      <c r="C72" t="s">
        <v>82</v>
      </c>
      <c r="H72" t="s">
        <v>81</v>
      </c>
      <c r="I72">
        <v>1738</v>
      </c>
      <c r="J72" t="s">
        <v>82</v>
      </c>
      <c r="L72">
        <v>1738</v>
      </c>
      <c r="M72" t="s">
        <v>82</v>
      </c>
      <c r="O72" t="str">
        <f t="shared" si="1"/>
        <v>WIK</v>
      </c>
    </row>
    <row r="73" spans="1:15" x14ac:dyDescent="0.3">
      <c r="A73">
        <v>4071</v>
      </c>
      <c r="B73">
        <v>43194</v>
      </c>
      <c r="C73" t="s">
        <v>52</v>
      </c>
      <c r="H73" t="s">
        <v>81</v>
      </c>
      <c r="I73" t="s">
        <v>83</v>
      </c>
      <c r="K73" t="s">
        <v>52</v>
      </c>
      <c r="L73" t="s">
        <v>83</v>
      </c>
      <c r="N73" t="s">
        <v>52</v>
      </c>
      <c r="O73" t="str">
        <f t="shared" si="1"/>
        <v>Casper</v>
      </c>
    </row>
    <row r="74" spans="1:15" x14ac:dyDescent="0.3">
      <c r="A74">
        <v>4072</v>
      </c>
      <c r="B74">
        <v>43194</v>
      </c>
      <c r="D74" t="s">
        <v>84</v>
      </c>
      <c r="G74">
        <v>28</v>
      </c>
      <c r="H74" t="s">
        <v>33</v>
      </c>
      <c r="I74">
        <v>2229</v>
      </c>
      <c r="K74" t="s">
        <v>84</v>
      </c>
      <c r="L74">
        <v>2229</v>
      </c>
      <c r="N74" t="s">
        <v>84</v>
      </c>
      <c r="O74" t="str">
        <f t="shared" si="1"/>
        <v>Tg(sox10:nls-EOS)</v>
      </c>
    </row>
    <row r="75" spans="1:15" x14ac:dyDescent="0.3">
      <c r="A75">
        <v>4073</v>
      </c>
      <c r="B75">
        <v>43194</v>
      </c>
      <c r="D75" t="s">
        <v>84</v>
      </c>
      <c r="G75">
        <v>45</v>
      </c>
      <c r="H75" t="s">
        <v>33</v>
      </c>
      <c r="I75">
        <v>2847</v>
      </c>
      <c r="J75" t="s">
        <v>85</v>
      </c>
      <c r="L75">
        <v>2841</v>
      </c>
      <c r="N75" t="s">
        <v>86</v>
      </c>
      <c r="O75" t="str">
        <f t="shared" si="1"/>
        <v>Tg(sox10:nls-EOS)</v>
      </c>
    </row>
    <row r="76" spans="1:15" x14ac:dyDescent="0.3">
      <c r="A76">
        <v>4074</v>
      </c>
      <c r="B76">
        <v>43194</v>
      </c>
      <c r="D76" t="s">
        <v>87</v>
      </c>
      <c r="G76">
        <v>0</v>
      </c>
      <c r="H76" t="s">
        <v>33</v>
      </c>
      <c r="I76">
        <v>2752</v>
      </c>
      <c r="K76" t="s">
        <v>87</v>
      </c>
      <c r="L76">
        <v>2752</v>
      </c>
      <c r="N76" t="s">
        <v>87</v>
      </c>
      <c r="O76" t="str">
        <f t="shared" si="1"/>
        <v>Tg(sox10:EOS)</v>
      </c>
    </row>
    <row r="77" spans="1:15" x14ac:dyDescent="0.3">
      <c r="A77">
        <v>4075</v>
      </c>
      <c r="B77">
        <v>43194</v>
      </c>
      <c r="D77" t="s">
        <v>87</v>
      </c>
      <c r="G77">
        <v>13</v>
      </c>
      <c r="H77" t="s">
        <v>33</v>
      </c>
      <c r="I77">
        <v>2847</v>
      </c>
      <c r="J77" t="s">
        <v>85</v>
      </c>
      <c r="L77">
        <v>2481</v>
      </c>
      <c r="N77" t="s">
        <v>88</v>
      </c>
      <c r="O77" t="str">
        <f t="shared" si="1"/>
        <v>Tg(sox10:EOS)</v>
      </c>
    </row>
    <row r="78" spans="1:15" x14ac:dyDescent="0.3">
      <c r="A78">
        <v>4076</v>
      </c>
      <c r="B78">
        <v>43194</v>
      </c>
      <c r="D78" t="s">
        <v>84</v>
      </c>
      <c r="E78" t="s">
        <v>89</v>
      </c>
      <c r="G78">
        <v>20</v>
      </c>
      <c r="H78" t="s">
        <v>33</v>
      </c>
      <c r="I78">
        <v>2847</v>
      </c>
      <c r="J78" t="s">
        <v>85</v>
      </c>
      <c r="L78">
        <v>2841</v>
      </c>
      <c r="N78" t="s">
        <v>86</v>
      </c>
      <c r="O78" t="str">
        <f t="shared" si="1"/>
        <v>Tg(sox10:nls-EOS)==Tg(gfap:nfsb-mCherry)</v>
      </c>
    </row>
    <row r="79" spans="1:15" x14ac:dyDescent="0.3">
      <c r="A79">
        <v>4077</v>
      </c>
      <c r="B79">
        <v>43194</v>
      </c>
      <c r="D79" t="s">
        <v>87</v>
      </c>
      <c r="E79" t="s">
        <v>89</v>
      </c>
      <c r="G79">
        <v>8</v>
      </c>
      <c r="H79" t="s">
        <v>33</v>
      </c>
      <c r="I79">
        <v>2847</v>
      </c>
      <c r="J79" t="s">
        <v>85</v>
      </c>
      <c r="L79">
        <v>2481</v>
      </c>
      <c r="N79" t="s">
        <v>88</v>
      </c>
      <c r="O79" t="str">
        <f t="shared" si="1"/>
        <v>Tg(sox10:EOS)==Tg(gfap:nfsb-mCherry)</v>
      </c>
    </row>
    <row r="80" spans="1:15" x14ac:dyDescent="0.3">
      <c r="A80">
        <v>4078</v>
      </c>
      <c r="B80">
        <v>43194</v>
      </c>
      <c r="D80" t="s">
        <v>89</v>
      </c>
      <c r="G80">
        <v>35</v>
      </c>
      <c r="H80" t="s">
        <v>33</v>
      </c>
      <c r="I80">
        <v>2847</v>
      </c>
      <c r="J80" t="s">
        <v>85</v>
      </c>
      <c r="L80" t="s">
        <v>90</v>
      </c>
      <c r="N80" t="s">
        <v>88</v>
      </c>
      <c r="O80" t="str">
        <f t="shared" si="1"/>
        <v>Tg(gfap:nfsb-mCherry)</v>
      </c>
    </row>
    <row r="81" spans="1:15" x14ac:dyDescent="0.3">
      <c r="A81">
        <v>4079</v>
      </c>
      <c r="B81">
        <v>43194</v>
      </c>
      <c r="D81" t="s">
        <v>89</v>
      </c>
      <c r="G81">
        <v>70</v>
      </c>
      <c r="H81" t="s">
        <v>33</v>
      </c>
      <c r="I81">
        <v>2481</v>
      </c>
      <c r="K81" t="s">
        <v>88</v>
      </c>
      <c r="L81">
        <v>2847</v>
      </c>
      <c r="M81" t="s">
        <v>85</v>
      </c>
      <c r="O81" t="str">
        <f t="shared" si="1"/>
        <v>Tg(gfap:nfsb-mCherry)</v>
      </c>
    </row>
    <row r="82" spans="1:15" x14ac:dyDescent="0.3">
      <c r="A82">
        <v>4080</v>
      </c>
      <c r="B82">
        <v>43194</v>
      </c>
      <c r="D82" t="s">
        <v>91</v>
      </c>
      <c r="G82">
        <v>12</v>
      </c>
      <c r="H82" t="s">
        <v>33</v>
      </c>
      <c r="I82">
        <v>3118</v>
      </c>
      <c r="K82" t="s">
        <v>34</v>
      </c>
      <c r="L82">
        <v>2895</v>
      </c>
      <c r="M82" t="s">
        <v>85</v>
      </c>
      <c r="O82" t="str">
        <f t="shared" si="1"/>
        <v>Tg(sox10:TagRFP) F2</v>
      </c>
    </row>
    <row r="83" spans="1:15" x14ac:dyDescent="0.3">
      <c r="A83">
        <v>4081</v>
      </c>
      <c r="B83">
        <v>43194</v>
      </c>
      <c r="D83" t="s">
        <v>92</v>
      </c>
      <c r="G83">
        <v>25</v>
      </c>
      <c r="H83" t="s">
        <v>33</v>
      </c>
      <c r="I83">
        <v>2905</v>
      </c>
      <c r="K83" t="s">
        <v>93</v>
      </c>
      <c r="L83">
        <v>2782</v>
      </c>
      <c r="N83" t="s">
        <v>94</v>
      </c>
      <c r="O83" t="str">
        <f t="shared" si="1"/>
        <v>Tg(sox10:Gal4); (cmlc2:GFP)</v>
      </c>
    </row>
    <row r="84" spans="1:15" x14ac:dyDescent="0.3">
      <c r="A84">
        <v>4082</v>
      </c>
      <c r="B84">
        <v>43194</v>
      </c>
      <c r="D84" t="s">
        <v>94</v>
      </c>
      <c r="E84" t="s">
        <v>95</v>
      </c>
      <c r="F84" t="s">
        <v>96</v>
      </c>
      <c r="G84">
        <v>9</v>
      </c>
      <c r="H84" t="s">
        <v>33</v>
      </c>
      <c r="I84">
        <v>2905</v>
      </c>
      <c r="K84" t="s">
        <v>93</v>
      </c>
      <c r="L84">
        <v>2782</v>
      </c>
      <c r="N84" t="s">
        <v>94</v>
      </c>
      <c r="O84" t="str">
        <f t="shared" si="1"/>
        <v>Tg(sox10:Gal4);(cmlc2:GFP)==Tg(UAS:mCherry)==Tg(UAS:2xFYVE-GFP)</v>
      </c>
    </row>
    <row r="85" spans="1:15" x14ac:dyDescent="0.3">
      <c r="A85">
        <v>4083</v>
      </c>
      <c r="B85">
        <v>43194</v>
      </c>
      <c r="D85" t="s">
        <v>94</v>
      </c>
      <c r="E85" t="s">
        <v>95</v>
      </c>
      <c r="G85">
        <v>6</v>
      </c>
      <c r="H85" t="s">
        <v>33</v>
      </c>
      <c r="I85">
        <v>2905</v>
      </c>
      <c r="K85" t="s">
        <v>93</v>
      </c>
      <c r="L85">
        <v>2782</v>
      </c>
      <c r="N85" t="s">
        <v>94</v>
      </c>
      <c r="O85" t="str">
        <f t="shared" si="1"/>
        <v>Tg(sox10:Gal4);(cmlc2:GFP)==Tg(UAS:mCherry)</v>
      </c>
    </row>
    <row r="86" spans="1:15" x14ac:dyDescent="0.3">
      <c r="A86">
        <v>4084</v>
      </c>
      <c r="B86">
        <v>43194</v>
      </c>
      <c r="D86" t="s">
        <v>97</v>
      </c>
      <c r="G86">
        <v>30</v>
      </c>
      <c r="H86" t="s">
        <v>33</v>
      </c>
      <c r="I86">
        <v>2895</v>
      </c>
      <c r="J86" t="s">
        <v>85</v>
      </c>
      <c r="L86" t="s">
        <v>98</v>
      </c>
      <c r="N86" t="s">
        <v>99</v>
      </c>
      <c r="O86" t="str">
        <f t="shared" si="1"/>
        <v>Tg(nkx2.2a:Gal4);(cmlc2:GFP)</v>
      </c>
    </row>
    <row r="87" spans="1:15" x14ac:dyDescent="0.3">
      <c r="A87">
        <v>4085</v>
      </c>
      <c r="B87">
        <v>43194</v>
      </c>
      <c r="D87" t="s">
        <v>32</v>
      </c>
      <c r="G87">
        <v>20</v>
      </c>
      <c r="H87" t="s">
        <v>33</v>
      </c>
      <c r="I87">
        <v>2069</v>
      </c>
      <c r="K87" t="s">
        <v>32</v>
      </c>
      <c r="L87">
        <v>2895</v>
      </c>
      <c r="M87" t="s">
        <v>85</v>
      </c>
      <c r="O87" t="str">
        <f t="shared" si="1"/>
        <v>Tg(nkx2.2a:nls-EGFP)</v>
      </c>
    </row>
    <row r="88" spans="1:15" x14ac:dyDescent="0.3">
      <c r="A88">
        <v>4086</v>
      </c>
      <c r="B88">
        <v>43194</v>
      </c>
      <c r="D88" t="s">
        <v>31</v>
      </c>
      <c r="G88">
        <v>25</v>
      </c>
      <c r="H88" t="s">
        <v>33</v>
      </c>
      <c r="I88">
        <v>2699</v>
      </c>
      <c r="K88" t="s">
        <v>31</v>
      </c>
      <c r="L88">
        <v>2895</v>
      </c>
      <c r="M88" t="s">
        <v>85</v>
      </c>
      <c r="O88" t="str">
        <f t="shared" si="1"/>
        <v>Tg(nkx2.2a:nls-mCherry)</v>
      </c>
    </row>
    <row r="89" spans="1:15" x14ac:dyDescent="0.3">
      <c r="A89">
        <v>4087</v>
      </c>
      <c r="B89">
        <v>43194</v>
      </c>
      <c r="D89" t="s">
        <v>97</v>
      </c>
      <c r="E89" t="s">
        <v>100</v>
      </c>
      <c r="G89">
        <v>15</v>
      </c>
      <c r="H89" t="s">
        <v>33</v>
      </c>
      <c r="I89">
        <v>2054</v>
      </c>
      <c r="K89" t="s">
        <v>101</v>
      </c>
      <c r="L89">
        <v>2895</v>
      </c>
      <c r="M89" t="s">
        <v>85</v>
      </c>
      <c r="O89" t="str">
        <f t="shared" si="1"/>
        <v>Tg(nkx2.2a:Gal4);(cmlc2:GFP)==Tg(UAS:kaede)</v>
      </c>
    </row>
    <row r="90" spans="1:15" x14ac:dyDescent="0.3">
      <c r="A90">
        <v>4088</v>
      </c>
      <c r="B90">
        <v>43194</v>
      </c>
      <c r="D90" t="s">
        <v>97</v>
      </c>
      <c r="E90" t="s">
        <v>102</v>
      </c>
      <c r="G90">
        <v>12</v>
      </c>
      <c r="H90" t="s">
        <v>33</v>
      </c>
      <c r="I90">
        <v>2028</v>
      </c>
      <c r="K90" t="s">
        <v>103</v>
      </c>
      <c r="L90">
        <v>2895</v>
      </c>
      <c r="M90" t="s">
        <v>85</v>
      </c>
      <c r="O90" t="str">
        <f t="shared" si="1"/>
        <v>Tg(nkx2.2a:Gal4);(cmlc2:GFP)==Tg(mnx:mCerulean3)</v>
      </c>
    </row>
    <row r="91" spans="1:15" x14ac:dyDescent="0.3">
      <c r="A91">
        <v>4089</v>
      </c>
      <c r="B91">
        <v>43194</v>
      </c>
      <c r="D91" t="s">
        <v>104</v>
      </c>
      <c r="G91">
        <v>23</v>
      </c>
      <c r="H91" t="s">
        <v>33</v>
      </c>
      <c r="I91">
        <v>2140</v>
      </c>
      <c r="K91" t="s">
        <v>99</v>
      </c>
      <c r="L91">
        <v>2140</v>
      </c>
      <c r="N91" t="s">
        <v>99</v>
      </c>
      <c r="O91" t="str">
        <f t="shared" si="1"/>
        <v>Tg(UAS:Lifeact-GFP)</v>
      </c>
    </row>
    <row r="92" spans="1:15" x14ac:dyDescent="0.3">
      <c r="A92">
        <v>4090</v>
      </c>
      <c r="B92">
        <v>43194</v>
      </c>
      <c r="D92" t="s">
        <v>105</v>
      </c>
      <c r="G92">
        <v>45</v>
      </c>
      <c r="H92" t="s">
        <v>33</v>
      </c>
      <c r="I92">
        <v>2229</v>
      </c>
      <c r="K92" t="s">
        <v>84</v>
      </c>
      <c r="L92">
        <v>2229</v>
      </c>
      <c r="N92" t="s">
        <v>84</v>
      </c>
      <c r="O92" t="str">
        <f t="shared" si="1"/>
        <v>AB old</v>
      </c>
    </row>
    <row r="93" spans="1:15" x14ac:dyDescent="0.3">
      <c r="A93">
        <v>4091</v>
      </c>
      <c r="B93">
        <v>43194</v>
      </c>
      <c r="D93" t="s">
        <v>106</v>
      </c>
      <c r="G93">
        <v>20</v>
      </c>
      <c r="H93" t="s">
        <v>33</v>
      </c>
      <c r="I93">
        <v>2889</v>
      </c>
      <c r="K93" t="s">
        <v>106</v>
      </c>
      <c r="L93">
        <v>2895</v>
      </c>
      <c r="M93" t="s">
        <v>85</v>
      </c>
      <c r="O93" t="str">
        <f t="shared" si="1"/>
        <v>Tg(olig2:DsRed)</v>
      </c>
    </row>
    <row r="94" spans="1:15" x14ac:dyDescent="0.3">
      <c r="A94">
        <v>4092</v>
      </c>
      <c r="B94">
        <v>43194</v>
      </c>
      <c r="D94" t="s">
        <v>97</v>
      </c>
      <c r="E94" t="s">
        <v>104</v>
      </c>
      <c r="G94">
        <v>55</v>
      </c>
      <c r="H94" t="s">
        <v>33</v>
      </c>
      <c r="I94">
        <v>2140</v>
      </c>
      <c r="K94" t="s">
        <v>99</v>
      </c>
      <c r="L94">
        <v>2895</v>
      </c>
      <c r="M94" t="s">
        <v>85</v>
      </c>
      <c r="O94" t="str">
        <f t="shared" si="1"/>
        <v>Tg(nkx2.2a:Gal4);(cmlc2:GFP)==Tg(UAS:Lifeact-GFP)</v>
      </c>
    </row>
    <row r="95" spans="1:15" x14ac:dyDescent="0.3">
      <c r="A95">
        <v>4093</v>
      </c>
      <c r="B95">
        <v>43194</v>
      </c>
      <c r="D95" t="s">
        <v>107</v>
      </c>
      <c r="G95">
        <v>15</v>
      </c>
      <c r="H95" t="s">
        <v>108</v>
      </c>
      <c r="I95">
        <v>2391</v>
      </c>
      <c r="K95" t="s">
        <v>109</v>
      </c>
      <c r="L95">
        <v>2391</v>
      </c>
      <c r="N95" t="s">
        <v>109</v>
      </c>
      <c r="O95" t="str">
        <f t="shared" si="1"/>
        <v xml:space="preserve">Tg(mnx1:MCERULEAN3) </v>
      </c>
    </row>
    <row r="96" spans="1:15" x14ac:dyDescent="0.3">
      <c r="A96">
        <v>4094</v>
      </c>
      <c r="B96">
        <v>43194</v>
      </c>
      <c r="D96" t="s">
        <v>110</v>
      </c>
      <c r="G96">
        <v>6</v>
      </c>
      <c r="H96" t="s">
        <v>108</v>
      </c>
      <c r="I96">
        <v>2892</v>
      </c>
      <c r="J96" t="s">
        <v>12</v>
      </c>
      <c r="L96">
        <v>2074</v>
      </c>
      <c r="N96" t="s">
        <v>111</v>
      </c>
      <c r="O96" t="str">
        <f t="shared" si="1"/>
        <v>Tg(nkx2.2a:MEGFP)</v>
      </c>
    </row>
    <row r="97" spans="1:15" x14ac:dyDescent="0.3">
      <c r="A97">
        <v>4095</v>
      </c>
      <c r="B97">
        <v>43194</v>
      </c>
      <c r="D97" t="s">
        <v>110</v>
      </c>
      <c r="E97" t="s">
        <v>112</v>
      </c>
      <c r="G97">
        <v>5</v>
      </c>
      <c r="H97" t="s">
        <v>108</v>
      </c>
      <c r="I97">
        <v>2882</v>
      </c>
      <c r="K97" t="s">
        <v>110</v>
      </c>
      <c r="L97">
        <v>2892</v>
      </c>
      <c r="M97" t="s">
        <v>12</v>
      </c>
      <c r="O97" t="str">
        <f t="shared" si="1"/>
        <v>Tg(nkx2.2a:MEGFP)==Tg(sox10:MRFP)</v>
      </c>
    </row>
    <row r="98" spans="1:15" x14ac:dyDescent="0.3">
      <c r="A98">
        <v>4096</v>
      </c>
      <c r="B98">
        <v>43194</v>
      </c>
      <c r="C98" t="s">
        <v>113</v>
      </c>
      <c r="G98">
        <v>100</v>
      </c>
      <c r="H98" t="s">
        <v>114</v>
      </c>
      <c r="I98">
        <v>2190</v>
      </c>
      <c r="J98" t="s">
        <v>115</v>
      </c>
      <c r="L98">
        <v>2190</v>
      </c>
      <c r="M98" t="s">
        <v>115</v>
      </c>
      <c r="O98" t="str">
        <f t="shared" si="1"/>
        <v>cal gw71+/+; +/-; -/-</v>
      </c>
    </row>
    <row r="99" spans="1:15" x14ac:dyDescent="0.3">
      <c r="A99">
        <v>4097</v>
      </c>
      <c r="B99">
        <v>43194</v>
      </c>
      <c r="C99" t="s">
        <v>116</v>
      </c>
      <c r="D99" t="s">
        <v>117</v>
      </c>
      <c r="G99">
        <v>12</v>
      </c>
      <c r="H99" t="s">
        <v>114</v>
      </c>
      <c r="I99">
        <v>2158</v>
      </c>
      <c r="J99" t="s">
        <v>85</v>
      </c>
      <c r="L99">
        <v>2647</v>
      </c>
      <c r="M99" t="s">
        <v>118</v>
      </c>
      <c r="N99" t="s">
        <v>117</v>
      </c>
      <c r="O99" t="str">
        <f t="shared" si="1"/>
        <v>ftl +/+; +/-==Tg[olig2:dsRed]</v>
      </c>
    </row>
    <row r="100" spans="1:15" x14ac:dyDescent="0.3">
      <c r="A100">
        <v>4098</v>
      </c>
      <c r="B100">
        <v>43194</v>
      </c>
      <c r="C100" t="s">
        <v>119</v>
      </c>
      <c r="G100">
        <v>150</v>
      </c>
      <c r="H100" t="s">
        <v>114</v>
      </c>
      <c r="I100">
        <v>2158</v>
      </c>
      <c r="J100" t="s">
        <v>85</v>
      </c>
      <c r="L100">
        <v>2172</v>
      </c>
      <c r="M100" t="s">
        <v>120</v>
      </c>
      <c r="O100" t="str">
        <f t="shared" si="1"/>
        <v>PAM +/+; +/-</v>
      </c>
    </row>
    <row r="101" spans="1:15" x14ac:dyDescent="0.3">
      <c r="A101">
        <v>4099</v>
      </c>
      <c r="B101">
        <v>43194</v>
      </c>
      <c r="C101" t="s">
        <v>116</v>
      </c>
      <c r="D101" t="s">
        <v>121</v>
      </c>
      <c r="G101">
        <v>25</v>
      </c>
      <c r="H101" t="s">
        <v>114</v>
      </c>
      <c r="I101">
        <v>2126</v>
      </c>
      <c r="J101" t="s">
        <v>118</v>
      </c>
      <c r="K101" t="s">
        <v>121</v>
      </c>
      <c r="L101">
        <v>2158</v>
      </c>
      <c r="M101" t="s">
        <v>85</v>
      </c>
      <c r="O101" t="str">
        <f t="shared" si="1"/>
        <v>ftl +/+; +/-==Tg[nkx2.2a:mGFP]</v>
      </c>
    </row>
    <row r="102" spans="1:15" x14ac:dyDescent="0.3">
      <c r="A102">
        <v>4100</v>
      </c>
      <c r="B102">
        <v>43194</v>
      </c>
      <c r="C102" t="s">
        <v>122</v>
      </c>
      <c r="G102">
        <v>150</v>
      </c>
      <c r="H102" t="s">
        <v>114</v>
      </c>
      <c r="I102">
        <v>2157</v>
      </c>
      <c r="J102" t="s">
        <v>123</v>
      </c>
      <c r="L102">
        <v>2157</v>
      </c>
      <c r="M102" t="s">
        <v>123</v>
      </c>
      <c r="O102" t="str">
        <f t="shared" si="1"/>
        <v>sco2 +/+; +/-; -/-</v>
      </c>
    </row>
    <row r="103" spans="1:15" x14ac:dyDescent="0.3">
      <c r="A103">
        <v>4101</v>
      </c>
      <c r="B103">
        <v>43194</v>
      </c>
      <c r="C103" t="s">
        <v>124</v>
      </c>
      <c r="G103">
        <v>150</v>
      </c>
      <c r="H103" t="s">
        <v>114</v>
      </c>
      <c r="I103">
        <v>2156</v>
      </c>
      <c r="J103" t="s">
        <v>125</v>
      </c>
      <c r="L103">
        <v>2156</v>
      </c>
      <c r="M103" t="s">
        <v>125</v>
      </c>
      <c r="O103" t="str">
        <f t="shared" si="1"/>
        <v>coa6 +/+; +/-; -/-</v>
      </c>
    </row>
    <row r="104" spans="1:15" x14ac:dyDescent="0.3">
      <c r="A104">
        <v>4102</v>
      </c>
      <c r="B104">
        <v>43194</v>
      </c>
      <c r="C104" t="s">
        <v>126</v>
      </c>
      <c r="D104" t="s">
        <v>127</v>
      </c>
      <c r="E104" t="s">
        <v>128</v>
      </c>
      <c r="G104">
        <v>50</v>
      </c>
      <c r="H104" t="s">
        <v>114</v>
      </c>
      <c r="I104">
        <v>2161</v>
      </c>
      <c r="J104" t="s">
        <v>129</v>
      </c>
      <c r="K104" t="s">
        <v>130</v>
      </c>
      <c r="L104">
        <v>2161</v>
      </c>
      <c r="M104" t="s">
        <v>129</v>
      </c>
      <c r="N104" t="s">
        <v>130</v>
      </c>
      <c r="O104" t="str">
        <f t="shared" si="1"/>
        <v>cal vu69 +/+; +/-==Tg[olig2:EGFP]==Tg[aldoca:mcherry]</v>
      </c>
    </row>
    <row r="105" spans="1:15" x14ac:dyDescent="0.3">
      <c r="A105">
        <v>4103</v>
      </c>
      <c r="B105">
        <v>43194</v>
      </c>
      <c r="D105" t="s">
        <v>131</v>
      </c>
      <c r="G105">
        <v>150</v>
      </c>
      <c r="H105" t="s">
        <v>114</v>
      </c>
      <c r="I105">
        <v>2169</v>
      </c>
      <c r="K105" t="s">
        <v>131</v>
      </c>
      <c r="L105">
        <v>3017</v>
      </c>
      <c r="M105" t="s">
        <v>85</v>
      </c>
      <c r="O105" t="str">
        <f t="shared" si="1"/>
        <v>Tg[aldoca:mGFP]</v>
      </c>
    </row>
    <row r="106" spans="1:15" x14ac:dyDescent="0.3">
      <c r="A106">
        <v>4104</v>
      </c>
      <c r="B106">
        <v>43194</v>
      </c>
      <c r="C106" t="s">
        <v>126</v>
      </c>
      <c r="G106">
        <v>100</v>
      </c>
      <c r="H106" t="s">
        <v>114</v>
      </c>
      <c r="I106">
        <v>2173</v>
      </c>
      <c r="J106" t="s">
        <v>129</v>
      </c>
      <c r="L106">
        <v>2173</v>
      </c>
      <c r="M106" t="s">
        <v>129</v>
      </c>
      <c r="O106" t="str">
        <f t="shared" si="1"/>
        <v>cal vu69 +/+; +/-</v>
      </c>
    </row>
    <row r="107" spans="1:15" x14ac:dyDescent="0.3">
      <c r="A107">
        <v>4105</v>
      </c>
      <c r="B107">
        <v>43194</v>
      </c>
      <c r="D107" t="s">
        <v>29</v>
      </c>
      <c r="G107">
        <v>8</v>
      </c>
      <c r="H107" t="s">
        <v>33</v>
      </c>
      <c r="I107">
        <v>2895</v>
      </c>
      <c r="J107" t="s">
        <v>85</v>
      </c>
      <c r="L107">
        <v>2874</v>
      </c>
      <c r="M107" t="s">
        <v>29</v>
      </c>
      <c r="O107" t="str">
        <f t="shared" si="1"/>
        <v>Tg(pBH-UAS:secA5-YFP)</v>
      </c>
    </row>
    <row r="108" spans="1:15" x14ac:dyDescent="0.3">
      <c r="A108">
        <v>4106</v>
      </c>
      <c r="B108">
        <v>43194</v>
      </c>
      <c r="C108" t="s">
        <v>132</v>
      </c>
      <c r="G108">
        <v>150</v>
      </c>
      <c r="H108" t="s">
        <v>114</v>
      </c>
      <c r="I108">
        <v>2292</v>
      </c>
      <c r="J108" t="s">
        <v>133</v>
      </c>
      <c r="L108">
        <v>2158</v>
      </c>
      <c r="M108" t="s">
        <v>85</v>
      </c>
      <c r="O108" t="str">
        <f t="shared" si="1"/>
        <v>ctr1 +/+; +/-</v>
      </c>
    </row>
    <row r="109" spans="1:15" x14ac:dyDescent="0.3">
      <c r="A109">
        <v>4107</v>
      </c>
      <c r="B109">
        <v>43194</v>
      </c>
      <c r="C109" t="s">
        <v>85</v>
      </c>
      <c r="G109">
        <v>75</v>
      </c>
      <c r="H109" t="s">
        <v>114</v>
      </c>
      <c r="I109">
        <v>2966</v>
      </c>
      <c r="J109" t="s">
        <v>85</v>
      </c>
      <c r="L109">
        <v>2966</v>
      </c>
      <c r="M109" t="s">
        <v>85</v>
      </c>
      <c r="O109" t="str">
        <f t="shared" si="1"/>
        <v>AB</v>
      </c>
    </row>
    <row r="110" spans="1:15" x14ac:dyDescent="0.3">
      <c r="A110">
        <v>4108</v>
      </c>
      <c r="B110">
        <v>43194</v>
      </c>
      <c r="C110" t="s">
        <v>116</v>
      </c>
      <c r="D110" t="s">
        <v>134</v>
      </c>
      <c r="G110">
        <v>50</v>
      </c>
      <c r="H110" t="s">
        <v>114</v>
      </c>
      <c r="I110">
        <v>2498</v>
      </c>
      <c r="J110" t="s">
        <v>118</v>
      </c>
      <c r="K110" t="s">
        <v>134</v>
      </c>
      <c r="L110">
        <v>2158</v>
      </c>
      <c r="M110" t="s">
        <v>85</v>
      </c>
      <c r="O110" t="str">
        <f t="shared" si="1"/>
        <v>ftl +/+; +/-==Tg[nkx2.2a:nls-EGFP]</v>
      </c>
    </row>
    <row r="111" spans="1:15" x14ac:dyDescent="0.3">
      <c r="A111">
        <v>4109</v>
      </c>
      <c r="B111">
        <v>43194</v>
      </c>
      <c r="D111" t="s">
        <v>128</v>
      </c>
      <c r="G111">
        <v>20</v>
      </c>
      <c r="H111" t="s">
        <v>114</v>
      </c>
      <c r="I111">
        <v>2587</v>
      </c>
      <c r="K111" t="s">
        <v>128</v>
      </c>
      <c r="L111">
        <v>2587</v>
      </c>
      <c r="M111" t="s">
        <v>128</v>
      </c>
      <c r="O111" t="str">
        <f t="shared" si="1"/>
        <v>Tg[aldoca:mcherry]</v>
      </c>
    </row>
    <row r="112" spans="1:15" x14ac:dyDescent="0.3">
      <c r="A112">
        <v>4110</v>
      </c>
      <c r="B112">
        <v>43194</v>
      </c>
      <c r="D112" t="s">
        <v>135</v>
      </c>
      <c r="G112">
        <v>20</v>
      </c>
      <c r="H112" t="s">
        <v>114</v>
      </c>
      <c r="I112">
        <v>2152</v>
      </c>
      <c r="K112" t="s">
        <v>135</v>
      </c>
      <c r="L112">
        <v>2152</v>
      </c>
      <c r="M112" t="s">
        <v>135</v>
      </c>
      <c r="O112" t="str">
        <f t="shared" si="1"/>
        <v>Tg[ctslb:EGFP]</v>
      </c>
    </row>
    <row r="113" spans="1:15" x14ac:dyDescent="0.3">
      <c r="A113">
        <v>4111</v>
      </c>
      <c r="B113">
        <v>43194</v>
      </c>
      <c r="D113" t="s">
        <v>136</v>
      </c>
      <c r="G113">
        <v>150</v>
      </c>
      <c r="H113" t="s">
        <v>114</v>
      </c>
      <c r="I113">
        <v>2747</v>
      </c>
      <c r="K113" t="s">
        <v>136</v>
      </c>
      <c r="L113">
        <v>3017</v>
      </c>
      <c r="M113" t="s">
        <v>85</v>
      </c>
      <c r="O113" t="str">
        <f t="shared" si="1"/>
        <v>Tg[foxd3:mcherry]</v>
      </c>
    </row>
    <row r="114" spans="1:15" x14ac:dyDescent="0.3">
      <c r="A114">
        <v>4112</v>
      </c>
      <c r="B114">
        <v>43194</v>
      </c>
      <c r="D114" t="s">
        <v>127</v>
      </c>
      <c r="G114">
        <v>300</v>
      </c>
      <c r="H114" t="s">
        <v>137</v>
      </c>
      <c r="I114">
        <v>3017</v>
      </c>
      <c r="J114" t="s">
        <v>85</v>
      </c>
      <c r="L114">
        <v>2261</v>
      </c>
      <c r="N114" t="s">
        <v>127</v>
      </c>
      <c r="O114" t="str">
        <f t="shared" si="1"/>
        <v>Tg[olig2:EGFP]</v>
      </c>
    </row>
    <row r="115" spans="1:15" x14ac:dyDescent="0.3">
      <c r="A115">
        <v>4113</v>
      </c>
      <c r="B115">
        <v>43194</v>
      </c>
      <c r="D115" t="s">
        <v>127</v>
      </c>
      <c r="G115">
        <v>150</v>
      </c>
      <c r="H115" t="s">
        <v>114</v>
      </c>
      <c r="I115">
        <v>2261</v>
      </c>
      <c r="K115" t="s">
        <v>127</v>
      </c>
      <c r="L115">
        <v>3017</v>
      </c>
      <c r="M115" t="s">
        <v>85</v>
      </c>
      <c r="O115" t="str">
        <f t="shared" si="1"/>
        <v>Tg[olig2:EGFP]</v>
      </c>
    </row>
    <row r="116" spans="1:15" x14ac:dyDescent="0.3">
      <c r="A116">
        <v>4114</v>
      </c>
      <c r="B116">
        <v>43194</v>
      </c>
      <c r="C116" t="s">
        <v>138</v>
      </c>
      <c r="D116" t="s">
        <v>139</v>
      </c>
      <c r="G116">
        <v>30</v>
      </c>
      <c r="H116" t="s">
        <v>140</v>
      </c>
      <c r="I116">
        <v>2476</v>
      </c>
      <c r="J116" t="s">
        <v>141</v>
      </c>
      <c r="K116" t="s">
        <v>139</v>
      </c>
      <c r="L116">
        <v>2476</v>
      </c>
      <c r="M116" t="s">
        <v>142</v>
      </c>
      <c r="N116" t="s">
        <v>139</v>
      </c>
      <c r="O116" t="str">
        <f t="shared" si="1"/>
        <v>stl64 +/+; +/-==Tg[sox10:mrfp]</v>
      </c>
    </row>
    <row r="117" spans="1:15" x14ac:dyDescent="0.3">
      <c r="A117">
        <v>4115</v>
      </c>
      <c r="B117">
        <v>43194</v>
      </c>
      <c r="C117" t="s">
        <v>143</v>
      </c>
      <c r="G117">
        <v>22</v>
      </c>
      <c r="H117" t="s">
        <v>140</v>
      </c>
      <c r="I117">
        <v>2788</v>
      </c>
      <c r="J117" t="s">
        <v>144</v>
      </c>
      <c r="K117" t="s">
        <v>145</v>
      </c>
      <c r="L117">
        <v>2788</v>
      </c>
      <c r="M117" t="s">
        <v>146</v>
      </c>
      <c r="O117" t="str">
        <f t="shared" si="1"/>
        <v>dcc +/+;+/-</v>
      </c>
    </row>
    <row r="118" spans="1:15" x14ac:dyDescent="0.3">
      <c r="A118">
        <v>4116</v>
      </c>
      <c r="B118">
        <v>43194</v>
      </c>
      <c r="D118" t="s">
        <v>127</v>
      </c>
      <c r="G118">
        <v>40</v>
      </c>
      <c r="H118" t="s">
        <v>140</v>
      </c>
      <c r="I118">
        <v>2671</v>
      </c>
      <c r="K118" t="s">
        <v>127</v>
      </c>
      <c r="L118">
        <v>2911</v>
      </c>
      <c r="M118" t="s">
        <v>85</v>
      </c>
      <c r="O118" t="str">
        <f t="shared" si="1"/>
        <v>Tg[olig2:EGFP]</v>
      </c>
    </row>
    <row r="119" spans="1:15" x14ac:dyDescent="0.3">
      <c r="A119">
        <v>4117</v>
      </c>
      <c r="B119">
        <v>43194</v>
      </c>
      <c r="D119" t="s">
        <v>145</v>
      </c>
      <c r="G119">
        <v>80</v>
      </c>
      <c r="H119" t="s">
        <v>140</v>
      </c>
      <c r="I119">
        <v>2497</v>
      </c>
      <c r="K119" t="s">
        <v>145</v>
      </c>
      <c r="L119">
        <v>2995</v>
      </c>
      <c r="M119" t="s">
        <v>85</v>
      </c>
      <c r="O119" t="str">
        <f t="shared" si="1"/>
        <v>Tg[olig2:dsred]</v>
      </c>
    </row>
    <row r="120" spans="1:15" x14ac:dyDescent="0.3">
      <c r="A120">
        <v>4118</v>
      </c>
      <c r="B120">
        <v>43194</v>
      </c>
      <c r="C120" t="s">
        <v>143</v>
      </c>
      <c r="D120" t="s">
        <v>145</v>
      </c>
      <c r="G120">
        <v>40</v>
      </c>
      <c r="H120" t="s">
        <v>140</v>
      </c>
      <c r="I120">
        <v>2183</v>
      </c>
      <c r="J120" t="s">
        <v>144</v>
      </c>
      <c r="L120">
        <v>2182</v>
      </c>
      <c r="M120" t="s">
        <v>146</v>
      </c>
      <c r="N120" t="s">
        <v>145</v>
      </c>
      <c r="O120" t="str">
        <f t="shared" si="1"/>
        <v>dcc +/+;+/-==Tg[olig2:dsred]</v>
      </c>
    </row>
    <row r="121" spans="1:15" x14ac:dyDescent="0.3">
      <c r="A121">
        <v>4119</v>
      </c>
      <c r="B121">
        <v>43194</v>
      </c>
      <c r="C121" t="s">
        <v>147</v>
      </c>
      <c r="D121" t="s">
        <v>148</v>
      </c>
      <c r="G121">
        <v>80</v>
      </c>
      <c r="H121" t="s">
        <v>140</v>
      </c>
      <c r="I121">
        <v>2211</v>
      </c>
      <c r="J121" t="s">
        <v>149</v>
      </c>
      <c r="K121" t="s">
        <v>148</v>
      </c>
      <c r="L121">
        <v>2211</v>
      </c>
      <c r="M121" t="s">
        <v>150</v>
      </c>
      <c r="N121" t="s">
        <v>148</v>
      </c>
      <c r="O121" t="str">
        <f t="shared" si="1"/>
        <v>nf1a +/+,+/-; nf1b -/-==Tg[sox10:megfp]</v>
      </c>
    </row>
    <row r="122" spans="1:15" x14ac:dyDescent="0.3">
      <c r="A122">
        <v>4120</v>
      </c>
      <c r="B122">
        <v>43194</v>
      </c>
      <c r="C122" t="s">
        <v>151</v>
      </c>
      <c r="D122" t="s">
        <v>127</v>
      </c>
      <c r="G122">
        <v>100</v>
      </c>
      <c r="H122" t="s">
        <v>140</v>
      </c>
      <c r="I122">
        <v>2780</v>
      </c>
      <c r="J122" t="s">
        <v>151</v>
      </c>
      <c r="K122" t="s">
        <v>127</v>
      </c>
      <c r="L122">
        <v>2780</v>
      </c>
      <c r="M122" t="s">
        <v>151</v>
      </c>
      <c r="N122" t="s">
        <v>127</v>
      </c>
      <c r="O122" t="str">
        <f t="shared" si="1"/>
        <v>efnb2a +/-==Tg[olig2:EGFP]</v>
      </c>
    </row>
    <row r="123" spans="1:15" x14ac:dyDescent="0.3">
      <c r="A123">
        <v>4121</v>
      </c>
      <c r="B123">
        <v>43194</v>
      </c>
      <c r="C123" t="s">
        <v>143</v>
      </c>
      <c r="G123">
        <v>95</v>
      </c>
      <c r="H123" t="s">
        <v>140</v>
      </c>
      <c r="I123">
        <v>2182</v>
      </c>
      <c r="J123" t="s">
        <v>144</v>
      </c>
      <c r="K123" t="s">
        <v>145</v>
      </c>
      <c r="L123">
        <v>2183</v>
      </c>
      <c r="M123" t="s">
        <v>146</v>
      </c>
      <c r="O123" t="str">
        <f t="shared" si="1"/>
        <v>dcc +/+;+/-</v>
      </c>
    </row>
    <row r="124" spans="1:15" x14ac:dyDescent="0.3">
      <c r="A124">
        <v>4122</v>
      </c>
      <c r="B124">
        <v>43194</v>
      </c>
      <c r="C124" t="s">
        <v>85</v>
      </c>
      <c r="G124">
        <v>90</v>
      </c>
      <c r="H124" t="s">
        <v>140</v>
      </c>
      <c r="K124" t="s">
        <v>152</v>
      </c>
      <c r="N124" t="s">
        <v>152</v>
      </c>
      <c r="O124" t="str">
        <f t="shared" si="1"/>
        <v>AB</v>
      </c>
    </row>
    <row r="125" spans="1:15" x14ac:dyDescent="0.3">
      <c r="A125">
        <v>4123</v>
      </c>
      <c r="B125">
        <v>43194</v>
      </c>
      <c r="D125" t="s">
        <v>139</v>
      </c>
      <c r="G125">
        <v>85</v>
      </c>
      <c r="H125" t="s">
        <v>140</v>
      </c>
      <c r="I125">
        <v>2995</v>
      </c>
      <c r="J125" t="s">
        <v>85</v>
      </c>
      <c r="L125">
        <v>2730</v>
      </c>
      <c r="N125" t="s">
        <v>139</v>
      </c>
      <c r="O125" t="str">
        <f t="shared" si="1"/>
        <v>Tg[sox10:mrfp]</v>
      </c>
    </row>
    <row r="126" spans="1:15" x14ac:dyDescent="0.3">
      <c r="A126">
        <v>4124</v>
      </c>
      <c r="B126">
        <v>43194</v>
      </c>
      <c r="D126" t="s">
        <v>127</v>
      </c>
      <c r="G126">
        <v>45</v>
      </c>
      <c r="H126" t="s">
        <v>140</v>
      </c>
      <c r="I126">
        <v>2671</v>
      </c>
      <c r="K126" t="s">
        <v>127</v>
      </c>
      <c r="L126">
        <v>2911</v>
      </c>
      <c r="M126" t="s">
        <v>85</v>
      </c>
      <c r="O126" t="str">
        <f t="shared" si="1"/>
        <v>Tg[olig2:EGFP]</v>
      </c>
    </row>
    <row r="127" spans="1:15" x14ac:dyDescent="0.3">
      <c r="A127">
        <v>4125</v>
      </c>
      <c r="B127">
        <v>43194</v>
      </c>
      <c r="C127" t="s">
        <v>153</v>
      </c>
      <c r="D127" t="s">
        <v>127</v>
      </c>
      <c r="G127">
        <v>80</v>
      </c>
      <c r="H127" t="s">
        <v>140</v>
      </c>
      <c r="I127">
        <v>2788</v>
      </c>
      <c r="J127" t="s">
        <v>144</v>
      </c>
      <c r="K127" t="s">
        <v>127</v>
      </c>
      <c r="L127">
        <v>2788</v>
      </c>
      <c r="M127" t="s">
        <v>144</v>
      </c>
      <c r="N127" t="s">
        <v>127</v>
      </c>
      <c r="O127" t="str">
        <f t="shared" si="1"/>
        <v>dcc +/+; +/-==Tg[olig2:EGFP]</v>
      </c>
    </row>
    <row r="128" spans="1:15" x14ac:dyDescent="0.3">
      <c r="A128">
        <v>4126</v>
      </c>
      <c r="B128">
        <v>43194</v>
      </c>
      <c r="D128" t="s">
        <v>127</v>
      </c>
      <c r="G128">
        <v>50</v>
      </c>
      <c r="H128" t="s">
        <v>140</v>
      </c>
      <c r="I128">
        <v>2911</v>
      </c>
      <c r="J128" t="s">
        <v>85</v>
      </c>
      <c r="L128">
        <v>2307</v>
      </c>
      <c r="N128" t="s">
        <v>127</v>
      </c>
      <c r="O128" t="str">
        <f t="shared" si="1"/>
        <v>Tg[olig2:EGFP]</v>
      </c>
    </row>
    <row r="129" spans="1:15" x14ac:dyDescent="0.3">
      <c r="A129">
        <v>4127</v>
      </c>
      <c r="B129">
        <v>43194</v>
      </c>
      <c r="D129" t="s">
        <v>154</v>
      </c>
      <c r="G129">
        <v>23</v>
      </c>
      <c r="H129" t="s">
        <v>140</v>
      </c>
      <c r="I129">
        <v>2684</v>
      </c>
      <c r="K129" t="s">
        <v>154</v>
      </c>
      <c r="L129">
        <v>2995</v>
      </c>
      <c r="M129" t="s">
        <v>85</v>
      </c>
      <c r="O129" t="str">
        <f t="shared" si="1"/>
        <v>Tg[mbp:EGFP-CAAX]</v>
      </c>
    </row>
    <row r="130" spans="1:15" x14ac:dyDescent="0.3">
      <c r="A130">
        <v>4128</v>
      </c>
      <c r="B130">
        <v>43194</v>
      </c>
      <c r="D130" t="s">
        <v>127</v>
      </c>
      <c r="G130">
        <v>75</v>
      </c>
      <c r="H130" t="s">
        <v>140</v>
      </c>
      <c r="I130">
        <v>2307</v>
      </c>
      <c r="K130" t="s">
        <v>127</v>
      </c>
      <c r="L130">
        <v>2911</v>
      </c>
      <c r="M130" t="s">
        <v>85</v>
      </c>
      <c r="O130" t="str">
        <f t="shared" si="1"/>
        <v>Tg[olig2:EGFP]</v>
      </c>
    </row>
    <row r="131" spans="1:15" x14ac:dyDescent="0.3">
      <c r="A131">
        <v>4129</v>
      </c>
      <c r="B131">
        <v>43194</v>
      </c>
      <c r="C131" t="s">
        <v>85</v>
      </c>
      <c r="G131">
        <v>65</v>
      </c>
      <c r="H131" t="s">
        <v>140</v>
      </c>
      <c r="I131">
        <v>3044</v>
      </c>
      <c r="J131" t="s">
        <v>85</v>
      </c>
      <c r="L131">
        <v>3044</v>
      </c>
      <c r="M131" t="s">
        <v>85</v>
      </c>
      <c r="O131" t="str">
        <f t="shared" ref="O131:O194" si="2">TEXTJOIN("==",TRUE,C131:F131)</f>
        <v>AB</v>
      </c>
    </row>
    <row r="132" spans="1:15" x14ac:dyDescent="0.3">
      <c r="A132">
        <v>4130</v>
      </c>
      <c r="B132">
        <v>43194</v>
      </c>
      <c r="D132" t="s">
        <v>145</v>
      </c>
      <c r="G132">
        <v>80</v>
      </c>
      <c r="H132" t="s">
        <v>140</v>
      </c>
      <c r="I132">
        <v>2911</v>
      </c>
      <c r="J132" t="s">
        <v>85</v>
      </c>
      <c r="L132">
        <v>2497</v>
      </c>
      <c r="N132" t="s">
        <v>145</v>
      </c>
      <c r="O132" t="str">
        <f t="shared" si="2"/>
        <v>Tg[olig2:dsred]</v>
      </c>
    </row>
    <row r="133" spans="1:15" x14ac:dyDescent="0.3">
      <c r="A133">
        <v>4131</v>
      </c>
      <c r="B133">
        <v>43194</v>
      </c>
      <c r="D133" t="s">
        <v>148</v>
      </c>
      <c r="G133">
        <v>90</v>
      </c>
      <c r="H133" t="s">
        <v>140</v>
      </c>
      <c r="I133">
        <v>2681</v>
      </c>
      <c r="K133" t="s">
        <v>148</v>
      </c>
      <c r="L133">
        <v>2912</v>
      </c>
      <c r="M133" t="s">
        <v>85</v>
      </c>
      <c r="O133" t="str">
        <f t="shared" si="2"/>
        <v>Tg[sox10:megfp]</v>
      </c>
    </row>
    <row r="134" spans="1:15" x14ac:dyDescent="0.3">
      <c r="A134">
        <v>4132</v>
      </c>
      <c r="B134">
        <v>43194</v>
      </c>
      <c r="C134" t="s">
        <v>85</v>
      </c>
      <c r="G134">
        <v>95</v>
      </c>
      <c r="H134" t="s">
        <v>140</v>
      </c>
      <c r="J134" t="s">
        <v>152</v>
      </c>
      <c r="M134" t="s">
        <v>152</v>
      </c>
      <c r="O134" t="str">
        <f t="shared" si="2"/>
        <v>AB</v>
      </c>
    </row>
    <row r="135" spans="1:15" x14ac:dyDescent="0.3">
      <c r="A135">
        <v>4133</v>
      </c>
      <c r="B135">
        <v>43194</v>
      </c>
      <c r="C135" t="s">
        <v>153</v>
      </c>
      <c r="G135">
        <v>45</v>
      </c>
      <c r="H135" t="s">
        <v>140</v>
      </c>
      <c r="I135">
        <v>2294</v>
      </c>
      <c r="J135" t="s">
        <v>144</v>
      </c>
      <c r="L135">
        <v>2294</v>
      </c>
      <c r="M135" t="s">
        <v>144</v>
      </c>
      <c r="O135" t="str">
        <f t="shared" si="2"/>
        <v>dcc +/+; +/-</v>
      </c>
    </row>
    <row r="136" spans="1:15" x14ac:dyDescent="0.3">
      <c r="A136">
        <v>4134</v>
      </c>
      <c r="B136">
        <v>43194</v>
      </c>
      <c r="C136" t="s">
        <v>155</v>
      </c>
      <c r="D136" t="s">
        <v>127</v>
      </c>
      <c r="G136">
        <v>100</v>
      </c>
      <c r="H136" t="s">
        <v>140</v>
      </c>
      <c r="I136">
        <v>2780</v>
      </c>
      <c r="J136" t="s">
        <v>151</v>
      </c>
      <c r="K136" t="s">
        <v>127</v>
      </c>
      <c r="L136">
        <v>2780</v>
      </c>
      <c r="M136" t="s">
        <v>151</v>
      </c>
      <c r="N136" t="s">
        <v>127</v>
      </c>
      <c r="O136" t="str">
        <f t="shared" si="2"/>
        <v>efnb2a +/+; +/-==Tg[olig2:EGFP]</v>
      </c>
    </row>
    <row r="137" spans="1:15" x14ac:dyDescent="0.3">
      <c r="A137">
        <v>4135</v>
      </c>
      <c r="B137">
        <v>43194</v>
      </c>
      <c r="D137" t="s">
        <v>156</v>
      </c>
      <c r="G137">
        <v>15</v>
      </c>
      <c r="H137" t="s">
        <v>140</v>
      </c>
      <c r="I137">
        <v>2234</v>
      </c>
      <c r="K137" t="s">
        <v>156</v>
      </c>
      <c r="L137">
        <v>2912</v>
      </c>
      <c r="M137" t="s">
        <v>85</v>
      </c>
      <c r="O137" t="str">
        <f t="shared" si="2"/>
        <v>Tg[sox10:eos]</v>
      </c>
    </row>
    <row r="138" spans="1:15" x14ac:dyDescent="0.3">
      <c r="A138">
        <v>4136</v>
      </c>
      <c r="B138">
        <v>43194</v>
      </c>
      <c r="D138" t="s">
        <v>157</v>
      </c>
      <c r="G138">
        <v>41</v>
      </c>
      <c r="H138" t="s">
        <v>140</v>
      </c>
      <c r="I138">
        <v>2912</v>
      </c>
      <c r="J138" t="s">
        <v>85</v>
      </c>
      <c r="L138">
        <v>2126</v>
      </c>
      <c r="N138" t="s">
        <v>157</v>
      </c>
      <c r="O138" t="str">
        <f t="shared" si="2"/>
        <v>Tg[sox10:nls-eos]</v>
      </c>
    </row>
    <row r="139" spans="1:15" x14ac:dyDescent="0.3">
      <c r="A139">
        <v>4137</v>
      </c>
      <c r="B139">
        <v>43194</v>
      </c>
      <c r="C139" t="s">
        <v>155</v>
      </c>
      <c r="G139">
        <v>90</v>
      </c>
      <c r="H139" t="s">
        <v>140</v>
      </c>
      <c r="I139">
        <v>2781</v>
      </c>
      <c r="J139" t="s">
        <v>151</v>
      </c>
      <c r="L139">
        <v>2781</v>
      </c>
      <c r="M139" t="s">
        <v>158</v>
      </c>
      <c r="O139" t="str">
        <f t="shared" si="2"/>
        <v>efnb2a +/+; +/-</v>
      </c>
    </row>
    <row r="140" spans="1:15" x14ac:dyDescent="0.3">
      <c r="A140">
        <v>4138</v>
      </c>
      <c r="B140">
        <v>43194</v>
      </c>
      <c r="C140" t="s">
        <v>155</v>
      </c>
      <c r="D140" t="s">
        <v>127</v>
      </c>
      <c r="G140">
        <v>100</v>
      </c>
      <c r="H140" t="s">
        <v>140</v>
      </c>
      <c r="I140">
        <v>2780</v>
      </c>
      <c r="J140" t="s">
        <v>151</v>
      </c>
      <c r="K140" t="s">
        <v>127</v>
      </c>
      <c r="L140">
        <v>2780</v>
      </c>
      <c r="M140" t="s">
        <v>158</v>
      </c>
      <c r="N140" t="s">
        <v>127</v>
      </c>
      <c r="O140" t="str">
        <f t="shared" si="2"/>
        <v>efnb2a +/+; +/-==Tg[olig2:EGFP]</v>
      </c>
    </row>
    <row r="141" spans="1:15" x14ac:dyDescent="0.3">
      <c r="A141">
        <v>4139</v>
      </c>
      <c r="B141">
        <v>43194</v>
      </c>
      <c r="D141" t="s">
        <v>70</v>
      </c>
      <c r="G141">
        <v>40</v>
      </c>
      <c r="H141" t="s">
        <v>50</v>
      </c>
      <c r="I141">
        <v>2859</v>
      </c>
      <c r="J141" t="s">
        <v>12</v>
      </c>
      <c r="L141">
        <v>2221</v>
      </c>
      <c r="N141" t="s">
        <v>70</v>
      </c>
      <c r="O141" t="str">
        <f t="shared" si="2"/>
        <v>tg(olig2:dsred2)</v>
      </c>
    </row>
    <row r="142" spans="1:15" x14ac:dyDescent="0.3">
      <c r="A142">
        <v>4140</v>
      </c>
      <c r="B142">
        <v>43201</v>
      </c>
      <c r="C142" t="s">
        <v>12</v>
      </c>
      <c r="G142">
        <v>100</v>
      </c>
      <c r="H142" t="s">
        <v>39</v>
      </c>
      <c r="I142">
        <v>2903</v>
      </c>
      <c r="J142" t="s">
        <v>12</v>
      </c>
      <c r="L142">
        <v>2903</v>
      </c>
      <c r="M142" t="s">
        <v>12</v>
      </c>
      <c r="O142" t="str">
        <f t="shared" si="2"/>
        <v>AB*</v>
      </c>
    </row>
    <row r="143" spans="1:15" x14ac:dyDescent="0.3">
      <c r="A143">
        <v>4141</v>
      </c>
      <c r="B143">
        <v>43201</v>
      </c>
      <c r="C143" t="s">
        <v>12</v>
      </c>
      <c r="G143">
        <v>75</v>
      </c>
      <c r="H143" t="s">
        <v>39</v>
      </c>
      <c r="I143">
        <v>2903</v>
      </c>
      <c r="J143" t="s">
        <v>12</v>
      </c>
      <c r="L143">
        <v>2903</v>
      </c>
      <c r="M143" t="s">
        <v>12</v>
      </c>
      <c r="O143" t="str">
        <f t="shared" si="2"/>
        <v>AB*</v>
      </c>
    </row>
    <row r="144" spans="1:15" x14ac:dyDescent="0.3">
      <c r="A144">
        <v>4142</v>
      </c>
      <c r="B144">
        <v>43201</v>
      </c>
      <c r="C144" t="s">
        <v>159</v>
      </c>
      <c r="G144">
        <v>50</v>
      </c>
      <c r="H144" t="s">
        <v>39</v>
      </c>
      <c r="I144">
        <v>3071</v>
      </c>
      <c r="J144" t="s">
        <v>52</v>
      </c>
      <c r="L144">
        <v>3071</v>
      </c>
      <c r="M144" t="s">
        <v>52</v>
      </c>
      <c r="O144" t="str">
        <f t="shared" si="2"/>
        <v>CASPER</v>
      </c>
    </row>
    <row r="145" spans="1:15" x14ac:dyDescent="0.3">
      <c r="A145">
        <v>4143</v>
      </c>
      <c r="B145">
        <v>43201</v>
      </c>
      <c r="C145" t="s">
        <v>12</v>
      </c>
      <c r="G145">
        <v>75</v>
      </c>
      <c r="H145" t="s">
        <v>39</v>
      </c>
      <c r="I145">
        <v>3046</v>
      </c>
      <c r="J145" t="s">
        <v>12</v>
      </c>
      <c r="L145">
        <v>3046</v>
      </c>
      <c r="M145" t="s">
        <v>12</v>
      </c>
      <c r="O145" t="str">
        <f t="shared" si="2"/>
        <v>AB*</v>
      </c>
    </row>
    <row r="146" spans="1:15" x14ac:dyDescent="0.3">
      <c r="A146">
        <v>4144</v>
      </c>
      <c r="B146">
        <v>43201</v>
      </c>
      <c r="C146" t="s">
        <v>12</v>
      </c>
      <c r="G146">
        <v>75</v>
      </c>
      <c r="H146" t="s">
        <v>39</v>
      </c>
      <c r="I146">
        <v>3046</v>
      </c>
      <c r="J146" t="s">
        <v>12</v>
      </c>
      <c r="L146">
        <v>3046</v>
      </c>
      <c r="M146" t="s">
        <v>12</v>
      </c>
      <c r="O146" t="str">
        <f t="shared" si="2"/>
        <v>AB*</v>
      </c>
    </row>
    <row r="147" spans="1:15" x14ac:dyDescent="0.3">
      <c r="A147">
        <v>4145</v>
      </c>
      <c r="B147">
        <v>43201</v>
      </c>
      <c r="C147" t="s">
        <v>160</v>
      </c>
      <c r="G147">
        <v>12</v>
      </c>
      <c r="H147" t="s">
        <v>13</v>
      </c>
      <c r="I147">
        <v>3002</v>
      </c>
      <c r="J147" t="s">
        <v>14</v>
      </c>
      <c r="L147">
        <v>3002</v>
      </c>
      <c r="M147" t="s">
        <v>14</v>
      </c>
      <c r="O147" t="str">
        <f t="shared" si="2"/>
        <v>NF1a+/+;NF1b+/-</v>
      </c>
    </row>
    <row r="148" spans="1:15" x14ac:dyDescent="0.3">
      <c r="A148">
        <v>4146</v>
      </c>
      <c r="B148">
        <v>43201</v>
      </c>
      <c r="D148" t="s">
        <v>161</v>
      </c>
      <c r="E148" t="s">
        <v>162</v>
      </c>
      <c r="G148">
        <v>20</v>
      </c>
      <c r="H148" t="s">
        <v>108</v>
      </c>
      <c r="I148">
        <v>2074</v>
      </c>
      <c r="K148" t="s">
        <v>163</v>
      </c>
      <c r="L148">
        <v>2892</v>
      </c>
      <c r="M148" t="s">
        <v>12</v>
      </c>
      <c r="O148" t="str">
        <f t="shared" si="2"/>
        <v>tg(nkx2.2a:megfp)==tg(sox10:mrfp)</v>
      </c>
    </row>
    <row r="149" spans="1:15" x14ac:dyDescent="0.3">
      <c r="A149">
        <v>4147</v>
      </c>
      <c r="B149">
        <v>43201</v>
      </c>
      <c r="D149" t="s">
        <v>164</v>
      </c>
      <c r="G149">
        <v>11</v>
      </c>
      <c r="H149" t="s">
        <v>108</v>
      </c>
      <c r="I149">
        <v>2513</v>
      </c>
      <c r="K149" t="s">
        <v>164</v>
      </c>
      <c r="L149">
        <v>2547</v>
      </c>
      <c r="M149" t="s">
        <v>12</v>
      </c>
      <c r="O149" t="str">
        <f t="shared" si="2"/>
        <v>tg(ctgfa:egfp)</v>
      </c>
    </row>
    <row r="150" spans="1:15" x14ac:dyDescent="0.3">
      <c r="A150">
        <v>4148</v>
      </c>
      <c r="B150">
        <v>43201</v>
      </c>
      <c r="D150" t="s">
        <v>161</v>
      </c>
      <c r="G150">
        <v>15</v>
      </c>
      <c r="H150" t="s">
        <v>108</v>
      </c>
      <c r="I150">
        <v>2547</v>
      </c>
      <c r="J150" t="s">
        <v>12</v>
      </c>
      <c r="L150">
        <v>2444</v>
      </c>
      <c r="N150" t="s">
        <v>161</v>
      </c>
      <c r="O150" t="str">
        <f t="shared" si="2"/>
        <v>tg(nkx2.2a:megfp)</v>
      </c>
    </row>
    <row r="151" spans="1:15" x14ac:dyDescent="0.3">
      <c r="A151">
        <v>4149</v>
      </c>
      <c r="B151">
        <v>43201</v>
      </c>
      <c r="D151" t="s">
        <v>157</v>
      </c>
      <c r="G151">
        <v>70</v>
      </c>
      <c r="H151" t="s">
        <v>140</v>
      </c>
      <c r="I151">
        <v>2040</v>
      </c>
      <c r="J151" t="s">
        <v>12</v>
      </c>
      <c r="L151">
        <v>2922</v>
      </c>
      <c r="N151" t="s">
        <v>157</v>
      </c>
      <c r="O151" t="str">
        <f t="shared" si="2"/>
        <v>Tg[sox10:nls-eos]</v>
      </c>
    </row>
    <row r="152" spans="1:15" x14ac:dyDescent="0.3">
      <c r="A152">
        <v>4150</v>
      </c>
      <c r="B152">
        <v>43201</v>
      </c>
      <c r="D152" t="s">
        <v>145</v>
      </c>
      <c r="G152">
        <v>80</v>
      </c>
      <c r="H152" t="s">
        <v>165</v>
      </c>
      <c r="I152">
        <v>2497</v>
      </c>
      <c r="K152" t="s">
        <v>145</v>
      </c>
      <c r="L152">
        <v>2995</v>
      </c>
      <c r="M152" t="s">
        <v>85</v>
      </c>
      <c r="O152" t="str">
        <f t="shared" si="2"/>
        <v>Tg[olig2:dsred]</v>
      </c>
    </row>
    <row r="153" spans="1:15" x14ac:dyDescent="0.3">
      <c r="A153">
        <v>4151</v>
      </c>
      <c r="B153">
        <v>43201</v>
      </c>
      <c r="D153" t="s">
        <v>145</v>
      </c>
      <c r="G153">
        <v>80</v>
      </c>
      <c r="H153" t="s">
        <v>165</v>
      </c>
      <c r="I153">
        <v>2497</v>
      </c>
      <c r="K153" t="s">
        <v>145</v>
      </c>
      <c r="L153">
        <v>2995</v>
      </c>
      <c r="M153" t="s">
        <v>85</v>
      </c>
      <c r="O153" t="str">
        <f t="shared" si="2"/>
        <v>Tg[olig2:dsred]</v>
      </c>
    </row>
    <row r="154" spans="1:15" x14ac:dyDescent="0.3">
      <c r="A154">
        <v>4152</v>
      </c>
      <c r="B154">
        <v>43201</v>
      </c>
      <c r="D154" t="s">
        <v>166</v>
      </c>
      <c r="G154">
        <v>70</v>
      </c>
      <c r="H154" t="s">
        <v>140</v>
      </c>
      <c r="I154">
        <v>2995</v>
      </c>
      <c r="J154" t="s">
        <v>85</v>
      </c>
      <c r="L154">
        <v>2527</v>
      </c>
      <c r="N154" t="s">
        <v>166</v>
      </c>
      <c r="O154" t="str">
        <f t="shared" si="2"/>
        <v>Tg[nbt:dsred]</v>
      </c>
    </row>
    <row r="155" spans="1:15" x14ac:dyDescent="0.3">
      <c r="A155">
        <v>4153</v>
      </c>
      <c r="B155">
        <v>43201</v>
      </c>
      <c r="C155" t="s">
        <v>167</v>
      </c>
      <c r="G155">
        <v>80</v>
      </c>
      <c r="H155" t="s">
        <v>140</v>
      </c>
      <c r="I155">
        <v>2909</v>
      </c>
      <c r="J155" t="s">
        <v>168</v>
      </c>
      <c r="L155">
        <v>2995</v>
      </c>
      <c r="M155" t="s">
        <v>85</v>
      </c>
      <c r="O155" t="str">
        <f t="shared" si="2"/>
        <v>stl +/+,+/-</v>
      </c>
    </row>
    <row r="156" spans="1:15" x14ac:dyDescent="0.3">
      <c r="A156">
        <v>4154</v>
      </c>
      <c r="B156">
        <v>43201</v>
      </c>
      <c r="C156" t="s">
        <v>167</v>
      </c>
      <c r="D156" t="s">
        <v>139</v>
      </c>
      <c r="G156">
        <v>60</v>
      </c>
      <c r="H156" t="s">
        <v>140</v>
      </c>
      <c r="I156">
        <v>2476</v>
      </c>
      <c r="J156" t="s">
        <v>168</v>
      </c>
      <c r="K156" t="s">
        <v>139</v>
      </c>
      <c r="L156">
        <v>2476</v>
      </c>
      <c r="M156" t="s">
        <v>169</v>
      </c>
      <c r="N156" t="s">
        <v>139</v>
      </c>
      <c r="O156" t="str">
        <f t="shared" si="2"/>
        <v>stl +/+,+/-==Tg[sox10:mrfp]</v>
      </c>
    </row>
    <row r="157" spans="1:15" x14ac:dyDescent="0.3">
      <c r="A157">
        <v>4155</v>
      </c>
      <c r="B157">
        <v>43201</v>
      </c>
      <c r="D157" t="s">
        <v>170</v>
      </c>
      <c r="G157">
        <v>50</v>
      </c>
      <c r="H157" t="s">
        <v>140</v>
      </c>
      <c r="I157">
        <v>2040</v>
      </c>
      <c r="J157" t="s">
        <v>85</v>
      </c>
      <c r="L157">
        <v>2111</v>
      </c>
      <c r="N157" t="s">
        <v>170</v>
      </c>
      <c r="O157" t="str">
        <f t="shared" si="2"/>
        <v>Tg[mbp:egfp-caax]</v>
      </c>
    </row>
    <row r="158" spans="1:15" x14ac:dyDescent="0.3">
      <c r="A158">
        <v>4156</v>
      </c>
      <c r="B158">
        <v>43201</v>
      </c>
      <c r="D158" t="s">
        <v>139</v>
      </c>
      <c r="G158">
        <v>30</v>
      </c>
      <c r="H158" t="s">
        <v>165</v>
      </c>
      <c r="I158">
        <v>2912</v>
      </c>
      <c r="J158" t="s">
        <v>85</v>
      </c>
      <c r="L158">
        <v>2730</v>
      </c>
      <c r="N158" t="s">
        <v>139</v>
      </c>
      <c r="O158" t="str">
        <f t="shared" si="2"/>
        <v>Tg[sox10:mrfp]</v>
      </c>
    </row>
    <row r="159" spans="1:15" x14ac:dyDescent="0.3">
      <c r="A159">
        <v>4157</v>
      </c>
      <c r="B159">
        <v>43201</v>
      </c>
      <c r="D159" t="s">
        <v>148</v>
      </c>
      <c r="G159">
        <v>70</v>
      </c>
      <c r="H159" t="s">
        <v>165</v>
      </c>
      <c r="I159">
        <v>2681</v>
      </c>
      <c r="K159" t="s">
        <v>148</v>
      </c>
      <c r="L159">
        <v>2911</v>
      </c>
      <c r="M159" t="s">
        <v>85</v>
      </c>
      <c r="O159" t="str">
        <f t="shared" si="2"/>
        <v>Tg[sox10:megfp]</v>
      </c>
    </row>
    <row r="160" spans="1:15" x14ac:dyDescent="0.3">
      <c r="A160">
        <v>4158</v>
      </c>
      <c r="B160">
        <v>43201</v>
      </c>
      <c r="D160" t="s">
        <v>156</v>
      </c>
      <c r="G160">
        <v>70</v>
      </c>
      <c r="H160" t="s">
        <v>140</v>
      </c>
      <c r="I160">
        <v>2234</v>
      </c>
      <c r="K160" t="s">
        <v>156</v>
      </c>
      <c r="L160">
        <v>2995</v>
      </c>
      <c r="M160" t="s">
        <v>85</v>
      </c>
      <c r="O160" t="str">
        <f t="shared" si="2"/>
        <v>Tg[sox10:eos]</v>
      </c>
    </row>
    <row r="161" spans="1:15" x14ac:dyDescent="0.3">
      <c r="A161">
        <v>4159</v>
      </c>
      <c r="B161">
        <v>43201</v>
      </c>
      <c r="D161" t="s">
        <v>171</v>
      </c>
      <c r="E161" t="s">
        <v>154</v>
      </c>
      <c r="G161">
        <v>5</v>
      </c>
      <c r="H161" t="s">
        <v>140</v>
      </c>
      <c r="I161">
        <v>2784</v>
      </c>
      <c r="K161" t="s">
        <v>171</v>
      </c>
      <c r="L161">
        <v>2912</v>
      </c>
      <c r="M161" t="s">
        <v>85</v>
      </c>
      <c r="O161" t="str">
        <f t="shared" si="2"/>
        <v>Tg[cntn1b:mcherry]==Tg[mbp:EGFP-CAAX]</v>
      </c>
    </row>
    <row r="162" spans="1:15" x14ac:dyDescent="0.3">
      <c r="A162">
        <v>4160</v>
      </c>
      <c r="B162">
        <v>43201</v>
      </c>
      <c r="D162" t="s">
        <v>84</v>
      </c>
      <c r="G162">
        <v>40</v>
      </c>
      <c r="H162" t="s">
        <v>172</v>
      </c>
      <c r="I162">
        <v>2412</v>
      </c>
      <c r="K162" t="s">
        <v>84</v>
      </c>
      <c r="L162">
        <v>2412</v>
      </c>
      <c r="M162" t="s">
        <v>85</v>
      </c>
      <c r="O162" t="str">
        <f t="shared" si="2"/>
        <v>Tg(sox10:nls-EOS)</v>
      </c>
    </row>
    <row r="163" spans="1:15" x14ac:dyDescent="0.3">
      <c r="A163">
        <v>4161</v>
      </c>
      <c r="B163">
        <v>43201</v>
      </c>
      <c r="D163" t="s">
        <v>32</v>
      </c>
      <c r="G163">
        <v>24</v>
      </c>
      <c r="H163" t="s">
        <v>172</v>
      </c>
      <c r="I163">
        <v>2895</v>
      </c>
      <c r="J163" t="s">
        <v>85</v>
      </c>
      <c r="L163">
        <v>2073</v>
      </c>
      <c r="N163" t="s">
        <v>32</v>
      </c>
      <c r="O163" t="str">
        <f t="shared" si="2"/>
        <v>Tg(nkx2.2a:nls-EGFP)</v>
      </c>
    </row>
    <row r="164" spans="1:15" x14ac:dyDescent="0.3">
      <c r="A164">
        <v>4162</v>
      </c>
      <c r="B164">
        <v>43201</v>
      </c>
      <c r="D164" t="s">
        <v>173</v>
      </c>
      <c r="G164">
        <v>28</v>
      </c>
      <c r="H164" t="s">
        <v>172</v>
      </c>
      <c r="I164">
        <v>2365</v>
      </c>
      <c r="J164" t="s">
        <v>173</v>
      </c>
      <c r="L164">
        <v>3037</v>
      </c>
      <c r="M164" t="s">
        <v>85</v>
      </c>
      <c r="O164" t="str">
        <f t="shared" si="2"/>
        <v>Tg(mpeg1:GFP)</v>
      </c>
    </row>
    <row r="165" spans="1:15" x14ac:dyDescent="0.3">
      <c r="A165">
        <v>4163</v>
      </c>
      <c r="B165">
        <v>43201</v>
      </c>
      <c r="D165" t="s">
        <v>174</v>
      </c>
      <c r="G165">
        <v>25</v>
      </c>
      <c r="H165" t="s">
        <v>172</v>
      </c>
      <c r="I165">
        <v>3037</v>
      </c>
      <c r="J165" t="s">
        <v>85</v>
      </c>
      <c r="L165">
        <v>2800</v>
      </c>
      <c r="N165" t="s">
        <v>174</v>
      </c>
      <c r="O165" t="str">
        <f t="shared" si="2"/>
        <v>Tg(mpeg1:mCherry)</v>
      </c>
    </row>
    <row r="166" spans="1:15" x14ac:dyDescent="0.3">
      <c r="A166">
        <v>4164</v>
      </c>
      <c r="B166">
        <v>43201</v>
      </c>
      <c r="D166" t="s">
        <v>94</v>
      </c>
      <c r="G166">
        <v>31</v>
      </c>
      <c r="H166" t="s">
        <v>172</v>
      </c>
      <c r="I166" t="s">
        <v>175</v>
      </c>
      <c r="K166" t="s">
        <v>94</v>
      </c>
      <c r="L166">
        <v>2895</v>
      </c>
      <c r="M166" t="s">
        <v>85</v>
      </c>
      <c r="O166" t="str">
        <f t="shared" si="2"/>
        <v>Tg(sox10:Gal4);(cmlc2:GFP)</v>
      </c>
    </row>
    <row r="167" spans="1:15" x14ac:dyDescent="0.3">
      <c r="A167">
        <v>4165</v>
      </c>
      <c r="B167">
        <v>43201</v>
      </c>
      <c r="D167" t="s">
        <v>94</v>
      </c>
      <c r="E167" t="s">
        <v>26</v>
      </c>
      <c r="G167">
        <v>7</v>
      </c>
      <c r="H167" t="s">
        <v>172</v>
      </c>
      <c r="I167">
        <v>2895</v>
      </c>
      <c r="J167" t="s">
        <v>85</v>
      </c>
      <c r="L167">
        <v>2853</v>
      </c>
      <c r="N167" t="s">
        <v>176</v>
      </c>
      <c r="O167" t="str">
        <f t="shared" si="2"/>
        <v>Tg(sox10:Gal4);(cmlc2:GFP)==Tg(UAS:GFP)</v>
      </c>
    </row>
    <row r="168" spans="1:15" x14ac:dyDescent="0.3">
      <c r="A168">
        <v>4166</v>
      </c>
      <c r="B168">
        <v>43201</v>
      </c>
      <c r="C168" t="s">
        <v>12</v>
      </c>
      <c r="G168">
        <v>60</v>
      </c>
      <c r="H168" t="s">
        <v>16</v>
      </c>
      <c r="I168">
        <v>2965</v>
      </c>
      <c r="J168" t="s">
        <v>12</v>
      </c>
      <c r="L168">
        <v>2965</v>
      </c>
      <c r="M168" t="s">
        <v>12</v>
      </c>
      <c r="O168" t="str">
        <f t="shared" si="2"/>
        <v>AB*</v>
      </c>
    </row>
    <row r="169" spans="1:15" x14ac:dyDescent="0.3">
      <c r="A169">
        <v>4167</v>
      </c>
      <c r="B169">
        <v>43201</v>
      </c>
      <c r="D169" t="s">
        <v>177</v>
      </c>
      <c r="G169">
        <v>70</v>
      </c>
      <c r="H169" t="s">
        <v>16</v>
      </c>
      <c r="I169">
        <v>2965</v>
      </c>
      <c r="J169" t="s">
        <v>12</v>
      </c>
      <c r="L169">
        <v>2958</v>
      </c>
      <c r="N169" t="s">
        <v>177</v>
      </c>
      <c r="O169" t="str">
        <f t="shared" si="2"/>
        <v>Tg(olig2:egfp)</v>
      </c>
    </row>
    <row r="170" spans="1:15" x14ac:dyDescent="0.3">
      <c r="A170">
        <v>4168</v>
      </c>
      <c r="B170">
        <v>43201</v>
      </c>
      <c r="D170" t="s">
        <v>22</v>
      </c>
      <c r="G170">
        <v>75</v>
      </c>
      <c r="H170" t="s">
        <v>178</v>
      </c>
      <c r="I170">
        <v>2204</v>
      </c>
      <c r="K170" t="s">
        <v>22</v>
      </c>
      <c r="L170">
        <v>2964</v>
      </c>
      <c r="M170" t="s">
        <v>12</v>
      </c>
      <c r="O170" t="str">
        <f t="shared" si="2"/>
        <v>Tg(Isl1:gfp)</v>
      </c>
    </row>
    <row r="171" spans="1:15" x14ac:dyDescent="0.3">
      <c r="A171">
        <v>4169</v>
      </c>
      <c r="B171">
        <v>43201</v>
      </c>
      <c r="D171" t="s">
        <v>179</v>
      </c>
      <c r="G171">
        <v>25</v>
      </c>
      <c r="H171" t="s">
        <v>178</v>
      </c>
      <c r="I171">
        <v>2965</v>
      </c>
      <c r="J171" t="s">
        <v>12</v>
      </c>
      <c r="L171">
        <v>2220</v>
      </c>
      <c r="N171" t="s">
        <v>179</v>
      </c>
      <c r="O171" t="str">
        <f t="shared" si="2"/>
        <v>Tg(ngn:gfp)</v>
      </c>
    </row>
    <row r="172" spans="1:15" x14ac:dyDescent="0.3">
      <c r="A172">
        <v>4170</v>
      </c>
      <c r="B172">
        <v>43201</v>
      </c>
      <c r="D172" t="s">
        <v>180</v>
      </c>
      <c r="G172">
        <v>50</v>
      </c>
      <c r="H172" t="s">
        <v>50</v>
      </c>
      <c r="I172">
        <v>2328</v>
      </c>
      <c r="K172" t="s">
        <v>180</v>
      </c>
      <c r="L172">
        <v>2328</v>
      </c>
      <c r="N172" t="s">
        <v>180</v>
      </c>
      <c r="O172" t="str">
        <f t="shared" si="2"/>
        <v>tg(mbp:egfp-caax)</v>
      </c>
    </row>
    <row r="173" spans="1:15" x14ac:dyDescent="0.3">
      <c r="A173">
        <v>4171</v>
      </c>
      <c r="B173">
        <v>43201</v>
      </c>
      <c r="D173" t="s">
        <v>58</v>
      </c>
      <c r="E173" t="s">
        <v>59</v>
      </c>
      <c r="G173">
        <v>60</v>
      </c>
      <c r="H173" t="s">
        <v>50</v>
      </c>
      <c r="I173">
        <v>3029</v>
      </c>
      <c r="K173" t="s">
        <v>181</v>
      </c>
      <c r="L173">
        <v>3029</v>
      </c>
      <c r="N173" t="s">
        <v>181</v>
      </c>
      <c r="O173" t="str">
        <f t="shared" si="2"/>
        <v>tg(sox10:gal4)==tg(UAS:lifeAct-GFP)</v>
      </c>
    </row>
    <row r="174" spans="1:15" x14ac:dyDescent="0.3">
      <c r="A174">
        <v>4172</v>
      </c>
      <c r="B174">
        <v>43201</v>
      </c>
      <c r="C174" t="s">
        <v>182</v>
      </c>
      <c r="G174">
        <v>75</v>
      </c>
      <c r="H174" t="s">
        <v>50</v>
      </c>
      <c r="I174">
        <v>2155</v>
      </c>
      <c r="K174" t="s">
        <v>183</v>
      </c>
      <c r="L174">
        <v>2440</v>
      </c>
      <c r="M174" t="s">
        <v>63</v>
      </c>
      <c r="O174" t="str">
        <f t="shared" si="2"/>
        <v>lingo1b +/-;+/+</v>
      </c>
    </row>
    <row r="175" spans="1:15" x14ac:dyDescent="0.3">
      <c r="A175">
        <v>4173</v>
      </c>
      <c r="B175">
        <v>43201</v>
      </c>
      <c r="C175" t="s">
        <v>182</v>
      </c>
      <c r="D175" t="s">
        <v>183</v>
      </c>
      <c r="G175">
        <v>50</v>
      </c>
      <c r="H175" t="s">
        <v>50</v>
      </c>
      <c r="I175">
        <v>2155</v>
      </c>
      <c r="K175" t="s">
        <v>183</v>
      </c>
      <c r="L175">
        <v>2440</v>
      </c>
      <c r="M175" t="s">
        <v>63</v>
      </c>
      <c r="O175" t="str">
        <f t="shared" si="2"/>
        <v>lingo1b +/-;+/+==tg(olig2:egfp)</v>
      </c>
    </row>
    <row r="176" spans="1:15" x14ac:dyDescent="0.3">
      <c r="A176">
        <v>4174</v>
      </c>
      <c r="B176">
        <v>43201</v>
      </c>
      <c r="D176" t="s">
        <v>61</v>
      </c>
      <c r="G176">
        <v>15</v>
      </c>
      <c r="H176" t="s">
        <v>50</v>
      </c>
      <c r="I176">
        <v>2768</v>
      </c>
      <c r="K176" t="s">
        <v>184</v>
      </c>
      <c r="L176">
        <v>2768</v>
      </c>
      <c r="M176" t="s">
        <v>184</v>
      </c>
      <c r="O176" t="str">
        <f t="shared" si="2"/>
        <v>tg(UAS:hNrg1typeIII)</v>
      </c>
    </row>
    <row r="177" spans="1:15" x14ac:dyDescent="0.3">
      <c r="A177">
        <v>4175</v>
      </c>
      <c r="B177">
        <v>43201</v>
      </c>
      <c r="D177" t="s">
        <v>61</v>
      </c>
      <c r="E177" t="s">
        <v>49</v>
      </c>
      <c r="G177">
        <v>50</v>
      </c>
      <c r="H177" t="s">
        <v>50</v>
      </c>
      <c r="I177">
        <v>2768</v>
      </c>
      <c r="K177" t="s">
        <v>184</v>
      </c>
      <c r="L177">
        <v>2768</v>
      </c>
      <c r="M177" t="s">
        <v>184</v>
      </c>
      <c r="O177" t="str">
        <f t="shared" si="2"/>
        <v>tg(UAS:hNrg1typeIII)==tg(sox10:nls-eos)</v>
      </c>
    </row>
    <row r="178" spans="1:15" x14ac:dyDescent="0.3">
      <c r="A178">
        <v>4176</v>
      </c>
      <c r="B178">
        <v>43201</v>
      </c>
      <c r="C178" t="s">
        <v>185</v>
      </c>
      <c r="D178" t="s">
        <v>180</v>
      </c>
      <c r="G178">
        <v>30</v>
      </c>
      <c r="H178" t="s">
        <v>50</v>
      </c>
      <c r="I178">
        <v>3114</v>
      </c>
      <c r="J178" t="s">
        <v>186</v>
      </c>
      <c r="K178" t="s">
        <v>180</v>
      </c>
      <c r="L178">
        <v>4114</v>
      </c>
      <c r="M178" t="s">
        <v>186</v>
      </c>
      <c r="N178" t="s">
        <v>180</v>
      </c>
      <c r="O178" t="str">
        <f t="shared" si="2"/>
        <v>gpr126 +/+;+/-;-/-==tg(mbp:egfp-caax)</v>
      </c>
    </row>
    <row r="179" spans="1:15" x14ac:dyDescent="0.3">
      <c r="A179">
        <v>4177</v>
      </c>
      <c r="B179">
        <v>43201</v>
      </c>
      <c r="C179" t="s">
        <v>185</v>
      </c>
      <c r="D179" t="s">
        <v>70</v>
      </c>
      <c r="E179" t="s">
        <v>180</v>
      </c>
      <c r="G179">
        <v>30</v>
      </c>
      <c r="H179" t="s">
        <v>50</v>
      </c>
      <c r="I179">
        <v>2884</v>
      </c>
      <c r="J179" t="s">
        <v>186</v>
      </c>
      <c r="K179" t="s">
        <v>187</v>
      </c>
      <c r="L179">
        <v>2891</v>
      </c>
      <c r="M179" t="s">
        <v>12</v>
      </c>
      <c r="O179" t="str">
        <f t="shared" si="2"/>
        <v>gpr126 +/+;+/-;-/-==tg(olig2:dsred2)==tg(mbp:egfp-caax)</v>
      </c>
    </row>
    <row r="180" spans="1:15" x14ac:dyDescent="0.3">
      <c r="A180">
        <v>4178</v>
      </c>
      <c r="B180">
        <v>43201</v>
      </c>
      <c r="C180" t="s">
        <v>185</v>
      </c>
      <c r="D180" t="s">
        <v>70</v>
      </c>
      <c r="G180">
        <v>12</v>
      </c>
      <c r="H180" t="s">
        <v>50</v>
      </c>
      <c r="I180">
        <v>2884</v>
      </c>
      <c r="J180" t="s">
        <v>186</v>
      </c>
      <c r="K180" t="s">
        <v>187</v>
      </c>
      <c r="L180">
        <v>2891</v>
      </c>
      <c r="M180" t="s">
        <v>12</v>
      </c>
      <c r="O180" t="str">
        <f t="shared" si="2"/>
        <v>gpr126 +/+;+/-;-/-==tg(olig2:dsred2)</v>
      </c>
    </row>
    <row r="181" spans="1:15" x14ac:dyDescent="0.3">
      <c r="A181">
        <v>4179</v>
      </c>
      <c r="B181">
        <v>43201</v>
      </c>
      <c r="D181" t="s">
        <v>183</v>
      </c>
      <c r="G181">
        <v>35</v>
      </c>
      <c r="H181" t="s">
        <v>50</v>
      </c>
      <c r="I181">
        <v>2891</v>
      </c>
      <c r="J181" t="s">
        <v>12</v>
      </c>
      <c r="L181">
        <v>2155</v>
      </c>
      <c r="N181" t="s">
        <v>183</v>
      </c>
      <c r="O181" t="str">
        <f t="shared" si="2"/>
        <v>tg(olig2:egfp)</v>
      </c>
    </row>
    <row r="182" spans="1:15" x14ac:dyDescent="0.3">
      <c r="A182">
        <v>4180</v>
      </c>
      <c r="B182">
        <v>43201</v>
      </c>
      <c r="C182" t="s">
        <v>188</v>
      </c>
      <c r="G182">
        <v>80</v>
      </c>
      <c r="H182" t="s">
        <v>50</v>
      </c>
      <c r="I182">
        <v>2952</v>
      </c>
      <c r="J182" t="s">
        <v>189</v>
      </c>
      <c r="K182" t="s">
        <v>70</v>
      </c>
      <c r="L182">
        <v>2891</v>
      </c>
      <c r="M182" t="s">
        <v>12</v>
      </c>
      <c r="O182" t="str">
        <f t="shared" si="2"/>
        <v>wif1 +/+;+/-</v>
      </c>
    </row>
    <row r="183" spans="1:15" x14ac:dyDescent="0.3">
      <c r="A183">
        <v>4181</v>
      </c>
      <c r="B183">
        <v>43201</v>
      </c>
      <c r="C183" t="s">
        <v>188</v>
      </c>
      <c r="D183" t="s">
        <v>70</v>
      </c>
      <c r="G183">
        <v>70</v>
      </c>
      <c r="H183" t="s">
        <v>50</v>
      </c>
      <c r="I183">
        <v>2952</v>
      </c>
      <c r="J183" t="s">
        <v>189</v>
      </c>
      <c r="K183" t="s">
        <v>70</v>
      </c>
      <c r="L183">
        <v>2891</v>
      </c>
      <c r="M183" t="s">
        <v>12</v>
      </c>
      <c r="O183" t="str">
        <f t="shared" si="2"/>
        <v>wif1 +/+;+/-==tg(olig2:dsred2)</v>
      </c>
    </row>
    <row r="184" spans="1:15" x14ac:dyDescent="0.3">
      <c r="A184">
        <v>4182</v>
      </c>
      <c r="B184">
        <v>43201</v>
      </c>
      <c r="D184" t="s">
        <v>47</v>
      </c>
      <c r="G184">
        <v>75</v>
      </c>
      <c r="H184" t="s">
        <v>50</v>
      </c>
      <c r="I184">
        <v>2447</v>
      </c>
      <c r="K184" t="s">
        <v>47</v>
      </c>
      <c r="L184">
        <v>2891</v>
      </c>
      <c r="M184" t="s">
        <v>12</v>
      </c>
      <c r="O184" t="str">
        <f t="shared" si="2"/>
        <v>tg(nbt:dsred)</v>
      </c>
    </row>
    <row r="185" spans="1:15" x14ac:dyDescent="0.3">
      <c r="A185">
        <v>4183</v>
      </c>
      <c r="B185">
        <v>43201</v>
      </c>
      <c r="D185" t="s">
        <v>162</v>
      </c>
      <c r="G185">
        <v>50</v>
      </c>
      <c r="H185" t="s">
        <v>50</v>
      </c>
      <c r="I185">
        <v>2927</v>
      </c>
      <c r="J185" t="s">
        <v>12</v>
      </c>
      <c r="L185">
        <v>2452</v>
      </c>
      <c r="N185" t="s">
        <v>162</v>
      </c>
      <c r="O185" t="str">
        <f t="shared" si="2"/>
        <v>tg(sox10:mrfp)</v>
      </c>
    </row>
    <row r="186" spans="1:15" x14ac:dyDescent="0.3">
      <c r="A186">
        <v>4184</v>
      </c>
      <c r="B186">
        <v>43201</v>
      </c>
      <c r="D186" t="s">
        <v>45</v>
      </c>
      <c r="G186">
        <v>60</v>
      </c>
      <c r="H186" t="s">
        <v>46</v>
      </c>
      <c r="I186">
        <v>2891</v>
      </c>
      <c r="J186" t="s">
        <v>12</v>
      </c>
      <c r="L186">
        <v>2464</v>
      </c>
      <c r="N186" t="s">
        <v>45</v>
      </c>
      <c r="O186" t="str">
        <f t="shared" si="2"/>
        <v>tg(isl1:rfp)</v>
      </c>
    </row>
    <row r="187" spans="1:15" x14ac:dyDescent="0.3">
      <c r="A187">
        <v>4185</v>
      </c>
      <c r="B187">
        <v>43201</v>
      </c>
      <c r="D187" t="s">
        <v>190</v>
      </c>
      <c r="G187">
        <v>50</v>
      </c>
      <c r="H187" t="s">
        <v>46</v>
      </c>
      <c r="I187">
        <v>2700</v>
      </c>
      <c r="K187" t="s">
        <v>191</v>
      </c>
      <c r="L187">
        <v>2666</v>
      </c>
      <c r="M187" t="s">
        <v>12</v>
      </c>
      <c r="O187" t="str">
        <f t="shared" si="2"/>
        <v>tg(neuroD:gal4);(cmlc2:gfp)</v>
      </c>
    </row>
    <row r="188" spans="1:15" x14ac:dyDescent="0.3">
      <c r="A188">
        <v>4186</v>
      </c>
      <c r="B188">
        <v>43201</v>
      </c>
      <c r="D188" t="s">
        <v>192</v>
      </c>
      <c r="G188">
        <v>43</v>
      </c>
      <c r="H188" t="s">
        <v>193</v>
      </c>
      <c r="I188">
        <v>2116</v>
      </c>
      <c r="K188" t="s">
        <v>192</v>
      </c>
      <c r="L188">
        <v>2681</v>
      </c>
      <c r="N188" t="s">
        <v>192</v>
      </c>
      <c r="O188" t="str">
        <f t="shared" si="2"/>
        <v>sox10:meGFP</v>
      </c>
    </row>
    <row r="189" spans="1:15" x14ac:dyDescent="0.3">
      <c r="A189">
        <v>4187</v>
      </c>
      <c r="B189">
        <v>43201</v>
      </c>
      <c r="C189" t="s">
        <v>194</v>
      </c>
      <c r="G189">
        <v>106</v>
      </c>
      <c r="H189" t="s">
        <v>195</v>
      </c>
      <c r="I189" t="s">
        <v>196</v>
      </c>
      <c r="J189" t="s">
        <v>194</v>
      </c>
      <c r="L189" t="s">
        <v>196</v>
      </c>
      <c r="M189" t="s">
        <v>194</v>
      </c>
      <c r="O189" t="str">
        <f t="shared" si="2"/>
        <v>cls (+/+,+/-)</v>
      </c>
    </row>
    <row r="190" spans="1:15" x14ac:dyDescent="0.3">
      <c r="A190">
        <v>4188</v>
      </c>
      <c r="B190">
        <v>43201</v>
      </c>
      <c r="D190" t="s">
        <v>197</v>
      </c>
      <c r="E190" t="s">
        <v>198</v>
      </c>
      <c r="G190">
        <v>75</v>
      </c>
      <c r="H190" t="s">
        <v>50</v>
      </c>
      <c r="I190">
        <v>2791</v>
      </c>
      <c r="K190" t="s">
        <v>199</v>
      </c>
      <c r="L190">
        <v>2927</v>
      </c>
      <c r="M190" t="s">
        <v>12</v>
      </c>
      <c r="O190" t="str">
        <f t="shared" si="2"/>
        <v>tg(ubi:cas9)==tg(cmcl2:gfp)</v>
      </c>
    </row>
    <row r="191" spans="1:15" x14ac:dyDescent="0.3">
      <c r="A191">
        <v>4189</v>
      </c>
      <c r="B191">
        <v>43201</v>
      </c>
      <c r="D191" t="s">
        <v>78</v>
      </c>
      <c r="G191">
        <v>15</v>
      </c>
      <c r="H191" t="s">
        <v>195</v>
      </c>
      <c r="I191">
        <v>2483</v>
      </c>
      <c r="K191" t="s">
        <v>78</v>
      </c>
      <c r="L191">
        <v>2960</v>
      </c>
      <c r="M191" t="s">
        <v>12</v>
      </c>
      <c r="O191" t="str">
        <f t="shared" si="2"/>
        <v>nkx2.2a:meGFP</v>
      </c>
    </row>
    <row r="192" spans="1:15" x14ac:dyDescent="0.3">
      <c r="A192">
        <v>4190</v>
      </c>
      <c r="B192">
        <v>43201</v>
      </c>
      <c r="D192" t="s">
        <v>200</v>
      </c>
      <c r="G192">
        <v>12</v>
      </c>
      <c r="H192" t="s">
        <v>195</v>
      </c>
      <c r="I192">
        <v>2960</v>
      </c>
      <c r="J192" t="s">
        <v>12</v>
      </c>
      <c r="L192">
        <v>2021</v>
      </c>
      <c r="N192" t="s">
        <v>200</v>
      </c>
      <c r="O192" t="str">
        <f t="shared" si="2"/>
        <v>hb9:meGFP</v>
      </c>
    </row>
    <row r="193" spans="1:15" x14ac:dyDescent="0.3">
      <c r="A193">
        <v>4191</v>
      </c>
      <c r="B193">
        <v>43208</v>
      </c>
      <c r="C193" t="s">
        <v>160</v>
      </c>
      <c r="G193">
        <v>9</v>
      </c>
      <c r="H193" t="s">
        <v>13</v>
      </c>
      <c r="I193">
        <v>3002</v>
      </c>
      <c r="J193" t="s">
        <v>14</v>
      </c>
      <c r="L193">
        <v>3002</v>
      </c>
      <c r="M193" t="s">
        <v>14</v>
      </c>
      <c r="O193" t="str">
        <f t="shared" si="2"/>
        <v>NF1a+/+;NF1b+/-</v>
      </c>
    </row>
    <row r="194" spans="1:15" x14ac:dyDescent="0.3">
      <c r="A194">
        <v>4192</v>
      </c>
      <c r="B194">
        <v>43208</v>
      </c>
      <c r="C194" t="s">
        <v>12</v>
      </c>
      <c r="G194">
        <v>75</v>
      </c>
      <c r="H194" t="s">
        <v>39</v>
      </c>
      <c r="I194">
        <v>2904</v>
      </c>
      <c r="J194" t="s">
        <v>12</v>
      </c>
      <c r="L194">
        <v>2904</v>
      </c>
      <c r="M194" t="s">
        <v>12</v>
      </c>
      <c r="O194" t="str">
        <f t="shared" si="2"/>
        <v>AB*</v>
      </c>
    </row>
    <row r="195" spans="1:15" x14ac:dyDescent="0.3">
      <c r="A195">
        <v>4193</v>
      </c>
      <c r="B195">
        <v>43208</v>
      </c>
      <c r="C195" t="s">
        <v>12</v>
      </c>
      <c r="G195">
        <v>50</v>
      </c>
      <c r="H195" t="s">
        <v>39</v>
      </c>
      <c r="I195">
        <v>2946</v>
      </c>
      <c r="J195" t="s">
        <v>12</v>
      </c>
      <c r="L195">
        <v>2946</v>
      </c>
      <c r="M195" t="s">
        <v>12</v>
      </c>
      <c r="O195" t="str">
        <f t="shared" ref="O195:O258" si="3">TEXTJOIN("==",TRUE,C195:F195)</f>
        <v>AB*</v>
      </c>
    </row>
    <row r="196" spans="1:15" x14ac:dyDescent="0.3">
      <c r="A196">
        <v>4194</v>
      </c>
      <c r="B196">
        <v>43208</v>
      </c>
      <c r="C196" t="s">
        <v>12</v>
      </c>
      <c r="G196">
        <v>100</v>
      </c>
      <c r="H196" t="s">
        <v>39</v>
      </c>
      <c r="I196">
        <v>2946</v>
      </c>
      <c r="J196" t="s">
        <v>12</v>
      </c>
      <c r="L196">
        <v>2946</v>
      </c>
      <c r="M196" t="s">
        <v>12</v>
      </c>
      <c r="O196" t="str">
        <f t="shared" si="3"/>
        <v>AB*</v>
      </c>
    </row>
    <row r="197" spans="1:15" x14ac:dyDescent="0.3">
      <c r="A197">
        <v>4195</v>
      </c>
      <c r="B197">
        <v>43208</v>
      </c>
      <c r="C197" t="s">
        <v>12</v>
      </c>
      <c r="G197">
        <v>200</v>
      </c>
      <c r="H197" t="s">
        <v>39</v>
      </c>
      <c r="I197">
        <v>2946</v>
      </c>
      <c r="J197" t="s">
        <v>12</v>
      </c>
      <c r="L197">
        <v>2946</v>
      </c>
      <c r="M197" t="s">
        <v>12</v>
      </c>
      <c r="O197" t="str">
        <f t="shared" si="3"/>
        <v>AB*</v>
      </c>
    </row>
    <row r="198" spans="1:15" x14ac:dyDescent="0.3">
      <c r="A198">
        <v>4196</v>
      </c>
      <c r="B198">
        <v>43208</v>
      </c>
      <c r="C198" t="s">
        <v>12</v>
      </c>
      <c r="G198">
        <v>250</v>
      </c>
      <c r="H198" t="s">
        <v>39</v>
      </c>
      <c r="I198">
        <v>2946</v>
      </c>
      <c r="J198" t="s">
        <v>12</v>
      </c>
      <c r="L198">
        <v>2946</v>
      </c>
      <c r="M198" t="s">
        <v>12</v>
      </c>
      <c r="O198" t="str">
        <f t="shared" si="3"/>
        <v>AB*</v>
      </c>
    </row>
    <row r="199" spans="1:15" x14ac:dyDescent="0.3">
      <c r="A199">
        <v>4197</v>
      </c>
      <c r="B199">
        <v>43208</v>
      </c>
      <c r="C199" t="s">
        <v>12</v>
      </c>
      <c r="G199">
        <v>200</v>
      </c>
      <c r="H199" t="s">
        <v>39</v>
      </c>
      <c r="I199">
        <v>2946</v>
      </c>
      <c r="J199" t="s">
        <v>12</v>
      </c>
      <c r="L199">
        <v>2946</v>
      </c>
      <c r="M199" t="s">
        <v>12</v>
      </c>
      <c r="O199" t="str">
        <f t="shared" si="3"/>
        <v>AB*</v>
      </c>
    </row>
    <row r="200" spans="1:15" x14ac:dyDescent="0.3">
      <c r="A200">
        <v>4198</v>
      </c>
      <c r="B200">
        <v>43208</v>
      </c>
      <c r="D200" t="s">
        <v>117</v>
      </c>
      <c r="G200">
        <v>15</v>
      </c>
      <c r="H200" t="s">
        <v>114</v>
      </c>
      <c r="I200">
        <v>2158</v>
      </c>
      <c r="J200" t="s">
        <v>12</v>
      </c>
      <c r="L200">
        <v>2237</v>
      </c>
      <c r="N200" t="s">
        <v>117</v>
      </c>
      <c r="O200" t="str">
        <f t="shared" si="3"/>
        <v>Tg[olig2:dsRed]</v>
      </c>
    </row>
    <row r="201" spans="1:15" x14ac:dyDescent="0.3">
      <c r="A201">
        <v>4199</v>
      </c>
      <c r="B201">
        <v>43208</v>
      </c>
      <c r="D201" t="s">
        <v>38</v>
      </c>
      <c r="G201">
        <v>8</v>
      </c>
      <c r="H201" t="s">
        <v>108</v>
      </c>
      <c r="I201">
        <v>2547</v>
      </c>
      <c r="J201" t="s">
        <v>12</v>
      </c>
      <c r="L201">
        <v>2444</v>
      </c>
      <c r="N201" t="s">
        <v>161</v>
      </c>
      <c r="O201" t="str">
        <f t="shared" si="3"/>
        <v>Tg(nkx2.2a:megfp)</v>
      </c>
    </row>
    <row r="202" spans="1:15" x14ac:dyDescent="0.3">
      <c r="A202">
        <v>4200</v>
      </c>
      <c r="B202">
        <v>43208</v>
      </c>
      <c r="D202" t="s">
        <v>201</v>
      </c>
      <c r="G202">
        <v>11</v>
      </c>
      <c r="H202" t="s">
        <v>108</v>
      </c>
      <c r="I202">
        <v>2391</v>
      </c>
      <c r="K202" t="s">
        <v>201</v>
      </c>
      <c r="L202">
        <v>2892</v>
      </c>
      <c r="M202" t="s">
        <v>12</v>
      </c>
      <c r="O202" t="str">
        <f t="shared" si="3"/>
        <v>tg(mnx1:mcerulean3)</v>
      </c>
    </row>
    <row r="203" spans="1:15" x14ac:dyDescent="0.3">
      <c r="A203">
        <v>4201</v>
      </c>
      <c r="B203">
        <v>43208</v>
      </c>
      <c r="D203" t="s">
        <v>202</v>
      </c>
      <c r="E203" t="s">
        <v>203</v>
      </c>
      <c r="G203">
        <v>20</v>
      </c>
      <c r="H203" t="s">
        <v>114</v>
      </c>
      <c r="I203">
        <v>2170</v>
      </c>
      <c r="K203" t="s">
        <v>204</v>
      </c>
      <c r="L203">
        <v>2170</v>
      </c>
      <c r="N203" t="s">
        <v>204</v>
      </c>
      <c r="O203" t="str">
        <f t="shared" si="3"/>
        <v>Tg[bact2:ER-tomato]==Tg[bact2:Galt-EGFP]</v>
      </c>
    </row>
    <row r="204" spans="1:15" x14ac:dyDescent="0.3">
      <c r="A204">
        <v>4202</v>
      </c>
      <c r="B204">
        <v>43208</v>
      </c>
      <c r="D204" t="s">
        <v>205</v>
      </c>
      <c r="G204">
        <v>2</v>
      </c>
      <c r="H204" t="s">
        <v>114</v>
      </c>
      <c r="I204">
        <v>3045</v>
      </c>
      <c r="J204" t="s">
        <v>12</v>
      </c>
      <c r="L204">
        <v>2774</v>
      </c>
      <c r="N204" t="s">
        <v>206</v>
      </c>
      <c r="O204" t="str">
        <f t="shared" si="3"/>
        <v>Tg[SAGFF(LF)73A;UAS:EGFP]</v>
      </c>
    </row>
    <row r="205" spans="1:15" x14ac:dyDescent="0.3">
      <c r="A205">
        <v>4203</v>
      </c>
      <c r="B205">
        <v>43208</v>
      </c>
      <c r="D205" t="s">
        <v>15</v>
      </c>
      <c r="G205">
        <v>2</v>
      </c>
      <c r="H205" t="s">
        <v>108</v>
      </c>
      <c r="I205">
        <v>2869</v>
      </c>
      <c r="K205" t="s">
        <v>207</v>
      </c>
      <c r="L205">
        <v>2892</v>
      </c>
      <c r="M205" t="s">
        <v>12</v>
      </c>
      <c r="O205" t="str">
        <f t="shared" si="3"/>
        <v>Tg(olig2:dsred)</v>
      </c>
    </row>
    <row r="206" spans="1:15" x14ac:dyDescent="0.3">
      <c r="A206">
        <v>4204</v>
      </c>
      <c r="B206">
        <v>43208</v>
      </c>
      <c r="D206" t="s">
        <v>202</v>
      </c>
      <c r="G206">
        <v>30</v>
      </c>
      <c r="H206" t="s">
        <v>114</v>
      </c>
      <c r="I206">
        <v>2168</v>
      </c>
      <c r="K206" t="s">
        <v>202</v>
      </c>
      <c r="L206">
        <v>2168</v>
      </c>
      <c r="N206" t="s">
        <v>202</v>
      </c>
      <c r="O206" t="str">
        <f t="shared" si="3"/>
        <v>Tg[bact2:ER-tomato]</v>
      </c>
    </row>
    <row r="207" spans="1:15" x14ac:dyDescent="0.3">
      <c r="A207">
        <v>4205</v>
      </c>
      <c r="B207">
        <v>43208</v>
      </c>
      <c r="D207" t="s">
        <v>208</v>
      </c>
      <c r="G207">
        <v>50</v>
      </c>
      <c r="H207" t="s">
        <v>114</v>
      </c>
      <c r="I207">
        <v>2899</v>
      </c>
      <c r="K207" t="s">
        <v>208</v>
      </c>
      <c r="L207">
        <v>2899</v>
      </c>
      <c r="N207" t="s">
        <v>208</v>
      </c>
      <c r="O207" t="str">
        <f t="shared" si="3"/>
        <v>Tg[sox10:mRFP]</v>
      </c>
    </row>
    <row r="208" spans="1:15" x14ac:dyDescent="0.3">
      <c r="A208">
        <v>4206</v>
      </c>
      <c r="B208">
        <v>43208</v>
      </c>
      <c r="D208" t="s">
        <v>209</v>
      </c>
      <c r="G208">
        <v>30</v>
      </c>
      <c r="H208" t="s">
        <v>114</v>
      </c>
      <c r="I208">
        <v>2158</v>
      </c>
      <c r="J208" t="s">
        <v>85</v>
      </c>
      <c r="L208">
        <v>2900</v>
      </c>
      <c r="N208" t="s">
        <v>209</v>
      </c>
      <c r="O208" t="str">
        <f t="shared" si="3"/>
        <v>Tg[sox10:mEGFP]</v>
      </c>
    </row>
    <row r="209" spans="1:15" x14ac:dyDescent="0.3">
      <c r="A209">
        <v>4207</v>
      </c>
      <c r="B209">
        <v>43208</v>
      </c>
      <c r="D209" t="s">
        <v>164</v>
      </c>
      <c r="G209">
        <v>15</v>
      </c>
      <c r="H209" t="s">
        <v>210</v>
      </c>
      <c r="I209">
        <v>2513</v>
      </c>
      <c r="J209" t="s">
        <v>12</v>
      </c>
      <c r="L209">
        <v>2513</v>
      </c>
      <c r="N209" t="s">
        <v>164</v>
      </c>
      <c r="O209" t="str">
        <f t="shared" si="3"/>
        <v>tg(ctgfa:egfp)</v>
      </c>
    </row>
    <row r="210" spans="1:15" x14ac:dyDescent="0.3">
      <c r="A210">
        <v>4208</v>
      </c>
      <c r="B210">
        <v>43208</v>
      </c>
      <c r="D210" t="s">
        <v>211</v>
      </c>
      <c r="G210">
        <v>30</v>
      </c>
      <c r="H210" t="s">
        <v>212</v>
      </c>
      <c r="I210">
        <v>2158</v>
      </c>
      <c r="J210" t="s">
        <v>85</v>
      </c>
      <c r="L210">
        <v>3140</v>
      </c>
      <c r="N210" t="s">
        <v>211</v>
      </c>
      <c r="O210" t="str">
        <f t="shared" si="3"/>
        <v>Tg[GFAP:EGFP]</v>
      </c>
    </row>
    <row r="211" spans="1:15" x14ac:dyDescent="0.3">
      <c r="A211">
        <v>4209</v>
      </c>
      <c r="B211">
        <v>43208</v>
      </c>
      <c r="C211" t="s">
        <v>213</v>
      </c>
      <c r="G211">
        <v>250</v>
      </c>
      <c r="H211" t="s">
        <v>114</v>
      </c>
      <c r="I211">
        <v>2376</v>
      </c>
      <c r="J211" t="s">
        <v>214</v>
      </c>
      <c r="L211">
        <v>2376</v>
      </c>
      <c r="O211" t="str">
        <f t="shared" si="3"/>
        <v>ftl+/+;+/-</v>
      </c>
    </row>
    <row r="212" spans="1:15" x14ac:dyDescent="0.3">
      <c r="A212">
        <v>4210</v>
      </c>
      <c r="B212">
        <v>43208</v>
      </c>
      <c r="C212" t="s">
        <v>215</v>
      </c>
      <c r="G212">
        <v>250</v>
      </c>
      <c r="H212" t="s">
        <v>114</v>
      </c>
      <c r="I212">
        <v>3017</v>
      </c>
      <c r="J212" t="s">
        <v>215</v>
      </c>
      <c r="L212">
        <v>3017</v>
      </c>
      <c r="M212" t="s">
        <v>215</v>
      </c>
      <c r="O212" t="str">
        <f t="shared" si="3"/>
        <v>AB-Paw</v>
      </c>
    </row>
    <row r="213" spans="1:15" x14ac:dyDescent="0.3">
      <c r="A213">
        <v>4211</v>
      </c>
      <c r="B213">
        <v>43208</v>
      </c>
      <c r="D213" t="s">
        <v>145</v>
      </c>
      <c r="G213">
        <v>35</v>
      </c>
      <c r="H213" t="s">
        <v>165</v>
      </c>
      <c r="I213">
        <v>2116</v>
      </c>
      <c r="K213" t="s">
        <v>148</v>
      </c>
      <c r="L213">
        <v>2912</v>
      </c>
      <c r="M213" t="s">
        <v>85</v>
      </c>
      <c r="O213" t="str">
        <f t="shared" si="3"/>
        <v>Tg[olig2:dsred]</v>
      </c>
    </row>
    <row r="214" spans="1:15" x14ac:dyDescent="0.3">
      <c r="A214">
        <v>4212</v>
      </c>
      <c r="B214">
        <v>43208</v>
      </c>
      <c r="D214" t="s">
        <v>139</v>
      </c>
      <c r="G214">
        <v>17</v>
      </c>
      <c r="H214" t="s">
        <v>165</v>
      </c>
      <c r="I214">
        <v>2912</v>
      </c>
      <c r="J214" t="s">
        <v>85</v>
      </c>
      <c r="L214">
        <v>2730</v>
      </c>
      <c r="N214" t="s">
        <v>139</v>
      </c>
      <c r="O214" t="str">
        <f t="shared" si="3"/>
        <v>Tg[sox10:mrfp]</v>
      </c>
    </row>
    <row r="215" spans="1:15" x14ac:dyDescent="0.3">
      <c r="A215">
        <v>4213</v>
      </c>
      <c r="B215">
        <v>43208</v>
      </c>
      <c r="D215" t="s">
        <v>156</v>
      </c>
      <c r="G215">
        <v>45</v>
      </c>
      <c r="H215" t="s">
        <v>165</v>
      </c>
      <c r="I215">
        <v>2911</v>
      </c>
      <c r="J215" t="s">
        <v>85</v>
      </c>
      <c r="L215">
        <v>2235</v>
      </c>
      <c r="N215" t="s">
        <v>156</v>
      </c>
      <c r="O215" t="str">
        <f t="shared" si="3"/>
        <v>Tg[sox10:eos]</v>
      </c>
    </row>
    <row r="216" spans="1:15" x14ac:dyDescent="0.3">
      <c r="A216">
        <v>4214</v>
      </c>
      <c r="B216">
        <v>43208</v>
      </c>
      <c r="D216" t="s">
        <v>148</v>
      </c>
      <c r="G216">
        <v>46</v>
      </c>
      <c r="H216" t="s">
        <v>165</v>
      </c>
      <c r="I216">
        <v>2995</v>
      </c>
      <c r="J216" t="s">
        <v>85</v>
      </c>
      <c r="L216">
        <v>2116</v>
      </c>
      <c r="N216" t="s">
        <v>148</v>
      </c>
      <c r="O216" t="str">
        <f t="shared" si="3"/>
        <v>Tg[sox10:megfp]</v>
      </c>
    </row>
    <row r="217" spans="1:15" x14ac:dyDescent="0.3">
      <c r="A217">
        <v>4215</v>
      </c>
      <c r="B217">
        <v>43208</v>
      </c>
      <c r="D217" t="s">
        <v>216</v>
      </c>
      <c r="E217" t="s">
        <v>217</v>
      </c>
      <c r="G217">
        <v>18</v>
      </c>
      <c r="H217" t="s">
        <v>140</v>
      </c>
      <c r="I217">
        <v>2525</v>
      </c>
      <c r="K217" t="s">
        <v>218</v>
      </c>
      <c r="L217">
        <v>2525</v>
      </c>
      <c r="N217" t="s">
        <v>218</v>
      </c>
      <c r="O217" t="str">
        <f t="shared" si="3"/>
        <v>Tg[sox10:GAL4]==Tg[UAS:lifeact-GFP]</v>
      </c>
    </row>
    <row r="218" spans="1:15" x14ac:dyDescent="0.3">
      <c r="A218">
        <v>4216</v>
      </c>
      <c r="B218">
        <v>43208</v>
      </c>
      <c r="D218" t="s">
        <v>154</v>
      </c>
      <c r="G218">
        <v>35</v>
      </c>
      <c r="H218" t="s">
        <v>165</v>
      </c>
      <c r="I218">
        <v>2684</v>
      </c>
      <c r="K218" t="s">
        <v>154</v>
      </c>
      <c r="L218">
        <v>2911</v>
      </c>
      <c r="M218" t="s">
        <v>85</v>
      </c>
      <c r="O218" t="str">
        <f t="shared" si="3"/>
        <v>Tg[mbp:EGFP-CAAX]</v>
      </c>
    </row>
    <row r="219" spans="1:15" x14ac:dyDescent="0.3">
      <c r="A219">
        <v>4217</v>
      </c>
      <c r="B219">
        <v>43208</v>
      </c>
      <c r="D219" t="s">
        <v>94</v>
      </c>
      <c r="E219" t="s">
        <v>219</v>
      </c>
      <c r="G219">
        <v>35</v>
      </c>
      <c r="H219" t="s">
        <v>33</v>
      </c>
      <c r="I219">
        <v>2968</v>
      </c>
      <c r="K219" t="s">
        <v>220</v>
      </c>
      <c r="L219">
        <v>2086</v>
      </c>
      <c r="N219" t="s">
        <v>94</v>
      </c>
      <c r="O219" t="str">
        <f t="shared" si="3"/>
        <v>Tg(sox10:Gal4);(cmlc2:GFP)==Tg(UAS:GFP-2xFYVE)</v>
      </c>
    </row>
    <row r="220" spans="1:15" x14ac:dyDescent="0.3">
      <c r="A220">
        <v>4218</v>
      </c>
      <c r="B220">
        <v>43208</v>
      </c>
      <c r="D220" t="s">
        <v>97</v>
      </c>
      <c r="G220">
        <v>45</v>
      </c>
      <c r="H220" t="s">
        <v>33</v>
      </c>
      <c r="I220" t="s">
        <v>221</v>
      </c>
      <c r="K220" t="s">
        <v>222</v>
      </c>
      <c r="L220">
        <v>2895</v>
      </c>
      <c r="M220" t="s">
        <v>85</v>
      </c>
      <c r="O220" t="str">
        <f t="shared" si="3"/>
        <v>Tg(nkx2.2a:Gal4);(cmlc2:GFP)</v>
      </c>
    </row>
    <row r="221" spans="1:15" x14ac:dyDescent="0.3">
      <c r="A221">
        <v>4219</v>
      </c>
      <c r="B221">
        <v>43208</v>
      </c>
      <c r="D221" t="s">
        <v>223</v>
      </c>
      <c r="G221">
        <v>16</v>
      </c>
      <c r="H221" t="s">
        <v>33</v>
      </c>
      <c r="I221">
        <v>2874</v>
      </c>
      <c r="K221" t="s">
        <v>223</v>
      </c>
      <c r="L221">
        <v>2874</v>
      </c>
      <c r="N221" t="s">
        <v>223</v>
      </c>
      <c r="O221" t="str">
        <f t="shared" si="3"/>
        <v>Tg(pBH-UAS:SecA5-YFP)</v>
      </c>
    </row>
    <row r="222" spans="1:15" x14ac:dyDescent="0.3">
      <c r="A222">
        <v>4220</v>
      </c>
      <c r="B222">
        <v>43208</v>
      </c>
      <c r="D222" t="s">
        <v>94</v>
      </c>
      <c r="G222">
        <v>44</v>
      </c>
      <c r="H222" t="s">
        <v>33</v>
      </c>
      <c r="I222">
        <v>2968</v>
      </c>
      <c r="K222" t="s">
        <v>220</v>
      </c>
      <c r="L222">
        <v>2086</v>
      </c>
      <c r="N222" t="s">
        <v>94</v>
      </c>
      <c r="O222" t="str">
        <f t="shared" si="3"/>
        <v>Tg(sox10:Gal4);(cmlc2:GFP)</v>
      </c>
    </row>
    <row r="223" spans="1:15" x14ac:dyDescent="0.3">
      <c r="A223">
        <v>4221</v>
      </c>
      <c r="B223">
        <v>43208</v>
      </c>
      <c r="D223" t="s">
        <v>224</v>
      </c>
      <c r="G223">
        <v>23</v>
      </c>
      <c r="H223" t="s">
        <v>33</v>
      </c>
      <c r="I223">
        <v>3051</v>
      </c>
      <c r="K223" t="s">
        <v>224</v>
      </c>
      <c r="L223">
        <v>3051</v>
      </c>
      <c r="N223" t="s">
        <v>224</v>
      </c>
      <c r="O223" t="str">
        <f t="shared" si="3"/>
        <v>Tg(sox10:lamp1-GFP);(cmlc2:GFP)</v>
      </c>
    </row>
    <row r="224" spans="1:15" x14ac:dyDescent="0.3">
      <c r="A224">
        <v>4222</v>
      </c>
      <c r="B224">
        <v>43208</v>
      </c>
      <c r="D224" t="s">
        <v>84</v>
      </c>
      <c r="E224" t="s">
        <v>89</v>
      </c>
      <c r="G224">
        <v>29</v>
      </c>
      <c r="H224" t="s">
        <v>33</v>
      </c>
      <c r="I224">
        <v>2847</v>
      </c>
      <c r="J224" t="s">
        <v>85</v>
      </c>
      <c r="L224">
        <v>2841</v>
      </c>
      <c r="N224" t="s">
        <v>86</v>
      </c>
      <c r="O224" t="str">
        <f t="shared" si="3"/>
        <v>Tg(sox10:nls-EOS)==Tg(gfap:nfsb-mCherry)</v>
      </c>
    </row>
    <row r="225" spans="1:15" x14ac:dyDescent="0.3">
      <c r="A225">
        <v>4223</v>
      </c>
      <c r="B225">
        <v>43208</v>
      </c>
      <c r="D225" t="s">
        <v>89</v>
      </c>
      <c r="G225">
        <v>40</v>
      </c>
      <c r="H225" t="s">
        <v>33</v>
      </c>
      <c r="I225">
        <v>2847</v>
      </c>
      <c r="J225" t="s">
        <v>85</v>
      </c>
      <c r="L225" t="s">
        <v>225</v>
      </c>
      <c r="N225" t="s">
        <v>86</v>
      </c>
      <c r="O225" t="str">
        <f t="shared" si="3"/>
        <v>Tg(gfap:nfsb-mCherry)</v>
      </c>
    </row>
    <row r="226" spans="1:15" x14ac:dyDescent="0.3">
      <c r="A226">
        <v>4224</v>
      </c>
      <c r="B226">
        <v>43208</v>
      </c>
      <c r="D226" t="s">
        <v>87</v>
      </c>
      <c r="E226" t="s">
        <v>89</v>
      </c>
      <c r="G226">
        <v>20</v>
      </c>
      <c r="H226" t="s">
        <v>33</v>
      </c>
      <c r="I226" t="s">
        <v>226</v>
      </c>
      <c r="J226" t="s">
        <v>85</v>
      </c>
      <c r="K226" t="s">
        <v>89</v>
      </c>
      <c r="L226" t="s">
        <v>227</v>
      </c>
      <c r="N226" t="s">
        <v>228</v>
      </c>
      <c r="O226" t="str">
        <f t="shared" si="3"/>
        <v>Tg(sox10:EOS)==Tg(gfap:nfsb-mCherry)</v>
      </c>
    </row>
    <row r="227" spans="1:15" x14ac:dyDescent="0.3">
      <c r="A227">
        <v>4225</v>
      </c>
      <c r="B227">
        <v>43208</v>
      </c>
      <c r="D227" t="s">
        <v>87</v>
      </c>
      <c r="G227">
        <v>27</v>
      </c>
      <c r="H227" t="s">
        <v>33</v>
      </c>
      <c r="I227">
        <v>2847</v>
      </c>
      <c r="J227" t="s">
        <v>85</v>
      </c>
      <c r="L227">
        <v>2841</v>
      </c>
      <c r="N227" t="s">
        <v>88</v>
      </c>
      <c r="O227" t="str">
        <f t="shared" si="3"/>
        <v>Tg(sox10:EOS)</v>
      </c>
    </row>
    <row r="228" spans="1:15" x14ac:dyDescent="0.3">
      <c r="A228">
        <v>4226</v>
      </c>
      <c r="B228">
        <v>43208</v>
      </c>
      <c r="D228" t="s">
        <v>87</v>
      </c>
      <c r="G228">
        <v>22</v>
      </c>
      <c r="H228" t="s">
        <v>33</v>
      </c>
      <c r="I228">
        <v>3130</v>
      </c>
      <c r="K228" t="s">
        <v>87</v>
      </c>
      <c r="L228">
        <v>3130</v>
      </c>
      <c r="N228" t="s">
        <v>87</v>
      </c>
      <c r="O228" t="str">
        <f t="shared" si="3"/>
        <v>Tg(sox10:EOS)</v>
      </c>
    </row>
    <row r="229" spans="1:15" x14ac:dyDescent="0.3">
      <c r="A229">
        <v>4227</v>
      </c>
      <c r="B229">
        <v>43208</v>
      </c>
      <c r="D229" t="s">
        <v>174</v>
      </c>
      <c r="G229">
        <v>60</v>
      </c>
      <c r="H229" t="s">
        <v>33</v>
      </c>
      <c r="I229" t="s">
        <v>229</v>
      </c>
      <c r="K229" t="s">
        <v>174</v>
      </c>
      <c r="L229" t="s">
        <v>229</v>
      </c>
      <c r="N229" t="s">
        <v>174</v>
      </c>
      <c r="O229" t="str">
        <f t="shared" si="3"/>
        <v>Tg(mpeg1:mCherry)</v>
      </c>
    </row>
    <row r="230" spans="1:15" x14ac:dyDescent="0.3">
      <c r="A230">
        <v>4228</v>
      </c>
      <c r="B230">
        <v>43208</v>
      </c>
      <c r="D230" t="s">
        <v>31</v>
      </c>
      <c r="G230">
        <v>18</v>
      </c>
      <c r="H230" t="s">
        <v>33</v>
      </c>
      <c r="I230">
        <v>2895</v>
      </c>
      <c r="J230" t="s">
        <v>85</v>
      </c>
      <c r="L230" t="s">
        <v>230</v>
      </c>
      <c r="N230" t="s">
        <v>31</v>
      </c>
      <c r="O230" t="str">
        <f t="shared" si="3"/>
        <v>Tg(nkx2.2a:nls-mCherry)</v>
      </c>
    </row>
    <row r="231" spans="1:15" x14ac:dyDescent="0.3">
      <c r="A231">
        <v>4229</v>
      </c>
      <c r="B231">
        <v>43208</v>
      </c>
      <c r="D231" t="s">
        <v>84</v>
      </c>
      <c r="G231">
        <v>22</v>
      </c>
      <c r="H231" t="s">
        <v>33</v>
      </c>
      <c r="I231">
        <v>2847</v>
      </c>
      <c r="J231" t="s">
        <v>85</v>
      </c>
      <c r="L231">
        <v>2841</v>
      </c>
      <c r="N231" t="s">
        <v>86</v>
      </c>
      <c r="O231" t="str">
        <f t="shared" si="3"/>
        <v>Tg(sox10:nls-EOS)</v>
      </c>
    </row>
    <row r="232" spans="1:15" x14ac:dyDescent="0.3">
      <c r="A232">
        <v>4230</v>
      </c>
      <c r="B232">
        <v>43208</v>
      </c>
      <c r="D232" t="s">
        <v>97</v>
      </c>
      <c r="E232" t="s">
        <v>231</v>
      </c>
      <c r="G232">
        <v>0</v>
      </c>
      <c r="H232" t="s">
        <v>33</v>
      </c>
      <c r="I232">
        <v>2140</v>
      </c>
      <c r="K232" t="s">
        <v>232</v>
      </c>
      <c r="L232">
        <v>2140</v>
      </c>
      <c r="N232" t="s">
        <v>232</v>
      </c>
      <c r="O232" t="str">
        <f t="shared" si="3"/>
        <v>Tg(nkx2.2a:Gal4);(cmlc2:GFP)==Tg(UAS:lifeact-GFP)</v>
      </c>
    </row>
    <row r="233" spans="1:15" x14ac:dyDescent="0.3">
      <c r="A233">
        <v>4231</v>
      </c>
      <c r="B233">
        <v>43208</v>
      </c>
      <c r="D233" t="s">
        <v>233</v>
      </c>
      <c r="G233">
        <v>50</v>
      </c>
      <c r="H233" t="s">
        <v>50</v>
      </c>
      <c r="I233">
        <v>2700</v>
      </c>
      <c r="K233" t="s">
        <v>233</v>
      </c>
      <c r="L233">
        <v>2666</v>
      </c>
      <c r="M233" t="s">
        <v>12</v>
      </c>
      <c r="O233" t="str">
        <f t="shared" si="3"/>
        <v>tg(neuroD:gal4);(cmcl2:gfp)</v>
      </c>
    </row>
    <row r="234" spans="1:15" x14ac:dyDescent="0.3">
      <c r="A234">
        <v>4232</v>
      </c>
      <c r="B234">
        <v>43208</v>
      </c>
      <c r="D234" t="s">
        <v>161</v>
      </c>
      <c r="E234" t="s">
        <v>162</v>
      </c>
      <c r="G234">
        <v>60</v>
      </c>
      <c r="H234" t="s">
        <v>234</v>
      </c>
      <c r="I234">
        <v>2074</v>
      </c>
      <c r="K234" t="s">
        <v>235</v>
      </c>
      <c r="L234">
        <v>2891</v>
      </c>
      <c r="M234" t="s">
        <v>12</v>
      </c>
      <c r="O234" t="str">
        <f t="shared" si="3"/>
        <v>tg(nkx2.2a:megfp)==tg(sox10:mrfp)</v>
      </c>
    </row>
    <row r="235" spans="1:15" x14ac:dyDescent="0.3">
      <c r="A235">
        <v>4233</v>
      </c>
      <c r="B235">
        <v>43208</v>
      </c>
      <c r="D235" t="s">
        <v>161</v>
      </c>
      <c r="G235">
        <v>55</v>
      </c>
      <c r="H235" t="s">
        <v>234</v>
      </c>
      <c r="I235">
        <v>2074</v>
      </c>
      <c r="K235" t="s">
        <v>235</v>
      </c>
      <c r="L235">
        <v>2891</v>
      </c>
      <c r="M235" t="s">
        <v>12</v>
      </c>
      <c r="O235" t="str">
        <f t="shared" si="3"/>
        <v>tg(nkx2.2a:megfp)</v>
      </c>
    </row>
    <row r="236" spans="1:15" x14ac:dyDescent="0.3">
      <c r="A236">
        <v>4234</v>
      </c>
      <c r="B236">
        <v>43208</v>
      </c>
      <c r="D236" t="s">
        <v>236</v>
      </c>
      <c r="G236">
        <v>40</v>
      </c>
      <c r="H236" t="s">
        <v>234</v>
      </c>
      <c r="I236">
        <v>2878</v>
      </c>
      <c r="K236" t="s">
        <v>236</v>
      </c>
      <c r="L236">
        <v>2878</v>
      </c>
      <c r="N236" t="s">
        <v>236</v>
      </c>
      <c r="O236" t="str">
        <f t="shared" si="3"/>
        <v>tg(mpz:gfp)</v>
      </c>
    </row>
    <row r="237" spans="1:15" x14ac:dyDescent="0.3">
      <c r="A237">
        <v>4235</v>
      </c>
      <c r="B237">
        <v>43208</v>
      </c>
      <c r="C237" t="s">
        <v>12</v>
      </c>
      <c r="G237">
        <v>90</v>
      </c>
      <c r="H237" t="s">
        <v>50</v>
      </c>
      <c r="I237">
        <v>2927</v>
      </c>
      <c r="J237" t="s">
        <v>12</v>
      </c>
      <c r="L237">
        <v>2927</v>
      </c>
      <c r="M237" t="s">
        <v>12</v>
      </c>
      <c r="O237" t="str">
        <f t="shared" si="3"/>
        <v>AB*</v>
      </c>
    </row>
    <row r="238" spans="1:15" x14ac:dyDescent="0.3">
      <c r="A238">
        <v>4236</v>
      </c>
      <c r="B238">
        <v>43208</v>
      </c>
      <c r="D238" t="s">
        <v>57</v>
      </c>
      <c r="G238">
        <v>50</v>
      </c>
      <c r="H238" t="s">
        <v>50</v>
      </c>
      <c r="I238">
        <v>2463</v>
      </c>
      <c r="K238" t="s">
        <v>57</v>
      </c>
      <c r="L238">
        <v>2891</v>
      </c>
      <c r="M238" t="s">
        <v>12</v>
      </c>
      <c r="O238" t="str">
        <f t="shared" si="3"/>
        <v>tg(sox10:eos)</v>
      </c>
    </row>
    <row r="239" spans="1:15" x14ac:dyDescent="0.3">
      <c r="A239">
        <v>4237</v>
      </c>
      <c r="B239">
        <v>43208</v>
      </c>
      <c r="D239" t="s">
        <v>237</v>
      </c>
      <c r="G239">
        <v>73</v>
      </c>
      <c r="H239" t="s">
        <v>195</v>
      </c>
      <c r="I239" t="s">
        <v>238</v>
      </c>
      <c r="J239" t="s">
        <v>239</v>
      </c>
      <c r="K239" t="s">
        <v>240</v>
      </c>
      <c r="L239" t="s">
        <v>241</v>
      </c>
      <c r="M239" t="s">
        <v>239</v>
      </c>
      <c r="N239" t="s">
        <v>242</v>
      </c>
      <c r="O239" t="str">
        <f t="shared" si="3"/>
        <v>nkx2.2:meGFP</v>
      </c>
    </row>
    <row r="240" spans="1:15" x14ac:dyDescent="0.3">
      <c r="A240">
        <v>4238</v>
      </c>
      <c r="B240">
        <v>43208</v>
      </c>
      <c r="C240" t="s">
        <v>194</v>
      </c>
      <c r="G240">
        <v>20</v>
      </c>
      <c r="H240" t="s">
        <v>195</v>
      </c>
      <c r="I240" t="s">
        <v>243</v>
      </c>
      <c r="J240" t="s">
        <v>244</v>
      </c>
      <c r="L240" t="s">
        <v>243</v>
      </c>
      <c r="M240" t="s">
        <v>244</v>
      </c>
      <c r="O240" t="str">
        <f t="shared" si="3"/>
        <v>cls (+/+,+/-)</v>
      </c>
    </row>
    <row r="241" spans="1:15" x14ac:dyDescent="0.3">
      <c r="A241">
        <v>4239</v>
      </c>
      <c r="B241">
        <v>43208</v>
      </c>
      <c r="D241" t="s">
        <v>200</v>
      </c>
      <c r="G241">
        <v>33</v>
      </c>
      <c r="H241" t="s">
        <v>195</v>
      </c>
      <c r="I241" t="s">
        <v>245</v>
      </c>
      <c r="J241" t="s">
        <v>239</v>
      </c>
      <c r="K241" t="s">
        <v>246</v>
      </c>
      <c r="L241" t="s">
        <v>247</v>
      </c>
      <c r="M241" t="s">
        <v>239</v>
      </c>
      <c r="N241" t="s">
        <v>248</v>
      </c>
      <c r="O241" t="str">
        <f t="shared" si="3"/>
        <v>hb9:meGFP</v>
      </c>
    </row>
    <row r="242" spans="1:15" x14ac:dyDescent="0.3">
      <c r="A242">
        <v>4240</v>
      </c>
      <c r="B242">
        <v>43208</v>
      </c>
      <c r="D242" t="s">
        <v>249</v>
      </c>
      <c r="G242">
        <v>18</v>
      </c>
      <c r="H242" t="s">
        <v>193</v>
      </c>
      <c r="I242">
        <v>2111</v>
      </c>
      <c r="K242" t="s">
        <v>249</v>
      </c>
      <c r="L242">
        <v>2684</v>
      </c>
      <c r="N242" t="s">
        <v>249</v>
      </c>
      <c r="O242" t="str">
        <f t="shared" si="3"/>
        <v>mbp:GFP</v>
      </c>
    </row>
    <row r="243" spans="1:15" x14ac:dyDescent="0.3">
      <c r="A243">
        <v>4241</v>
      </c>
      <c r="B243">
        <v>43208</v>
      </c>
      <c r="D243" t="s">
        <v>250</v>
      </c>
      <c r="G243">
        <v>6</v>
      </c>
      <c r="H243" t="s">
        <v>251</v>
      </c>
      <c r="I243">
        <v>2513</v>
      </c>
      <c r="J243" t="s">
        <v>12</v>
      </c>
      <c r="L243">
        <v>2496</v>
      </c>
      <c r="N243" t="s">
        <v>250</v>
      </c>
      <c r="O243" t="str">
        <f t="shared" si="3"/>
        <v>nbt:dsRed</v>
      </c>
    </row>
    <row r="244" spans="1:15" x14ac:dyDescent="0.3">
      <c r="A244">
        <v>4242</v>
      </c>
      <c r="B244">
        <v>43208</v>
      </c>
      <c r="D244" t="s">
        <v>237</v>
      </c>
      <c r="E244" t="s">
        <v>252</v>
      </c>
      <c r="G244">
        <v>3</v>
      </c>
      <c r="H244" t="s">
        <v>251</v>
      </c>
      <c r="I244">
        <v>2400</v>
      </c>
      <c r="K244" t="s">
        <v>253</v>
      </c>
      <c r="L244">
        <v>2061</v>
      </c>
      <c r="N244" t="s">
        <v>253</v>
      </c>
      <c r="O244" t="str">
        <f t="shared" si="3"/>
        <v>nkx2.2:meGFP==olig2:dsRed</v>
      </c>
    </row>
    <row r="245" spans="1:15" x14ac:dyDescent="0.3">
      <c r="A245">
        <v>4243</v>
      </c>
      <c r="B245">
        <v>43208</v>
      </c>
      <c r="D245" t="s">
        <v>252</v>
      </c>
      <c r="G245">
        <v>2</v>
      </c>
      <c r="H245" t="s">
        <v>251</v>
      </c>
      <c r="I245">
        <v>2400</v>
      </c>
      <c r="K245" t="s">
        <v>253</v>
      </c>
      <c r="L245">
        <v>2061</v>
      </c>
      <c r="N245" t="s">
        <v>253</v>
      </c>
      <c r="O245" t="str">
        <f t="shared" si="3"/>
        <v>olig2:dsRed</v>
      </c>
    </row>
    <row r="246" spans="1:15" x14ac:dyDescent="0.3">
      <c r="A246">
        <v>4244</v>
      </c>
      <c r="B246">
        <v>43208</v>
      </c>
      <c r="D246" t="s">
        <v>254</v>
      </c>
      <c r="G246">
        <v>6</v>
      </c>
      <c r="H246" t="s">
        <v>195</v>
      </c>
      <c r="I246">
        <v>2682</v>
      </c>
      <c r="K246" t="s">
        <v>255</v>
      </c>
      <c r="L246">
        <v>2682</v>
      </c>
      <c r="N246" t="s">
        <v>255</v>
      </c>
      <c r="O246" t="str">
        <f t="shared" si="3"/>
        <v>cls(-/-)</v>
      </c>
    </row>
    <row r="247" spans="1:15" x14ac:dyDescent="0.3">
      <c r="A247">
        <v>4245</v>
      </c>
      <c r="B247">
        <v>43208</v>
      </c>
      <c r="D247" t="s">
        <v>192</v>
      </c>
      <c r="G247">
        <v>54</v>
      </c>
      <c r="H247" t="s">
        <v>251</v>
      </c>
      <c r="I247" t="s">
        <v>256</v>
      </c>
      <c r="J247" t="s">
        <v>257</v>
      </c>
      <c r="K247" t="s">
        <v>258</v>
      </c>
      <c r="L247" t="s">
        <v>259</v>
      </c>
      <c r="M247" t="s">
        <v>257</v>
      </c>
      <c r="N247" t="s">
        <v>260</v>
      </c>
      <c r="O247" t="str">
        <f t="shared" si="3"/>
        <v>sox10:meGFP</v>
      </c>
    </row>
    <row r="248" spans="1:15" x14ac:dyDescent="0.3">
      <c r="A248">
        <v>4246</v>
      </c>
      <c r="B248">
        <v>43208</v>
      </c>
      <c r="D248" t="s">
        <v>192</v>
      </c>
      <c r="G248">
        <v>43</v>
      </c>
      <c r="H248" t="s">
        <v>251</v>
      </c>
      <c r="I248" t="s">
        <v>261</v>
      </c>
      <c r="J248" t="s">
        <v>257</v>
      </c>
      <c r="K248" t="s">
        <v>258</v>
      </c>
      <c r="L248">
        <v>2412</v>
      </c>
      <c r="N248" t="s">
        <v>262</v>
      </c>
      <c r="O248" t="str">
        <f t="shared" si="3"/>
        <v>sox10:meGFP</v>
      </c>
    </row>
    <row r="249" spans="1:15" x14ac:dyDescent="0.3">
      <c r="A249">
        <v>4247</v>
      </c>
      <c r="B249">
        <v>43208</v>
      </c>
      <c r="D249" t="s">
        <v>192</v>
      </c>
      <c r="G249">
        <v>43</v>
      </c>
      <c r="H249" t="s">
        <v>251</v>
      </c>
      <c r="I249" t="s">
        <v>263</v>
      </c>
      <c r="J249" t="s">
        <v>264</v>
      </c>
      <c r="K249" t="s">
        <v>265</v>
      </c>
      <c r="L249" t="s">
        <v>266</v>
      </c>
      <c r="M249" t="s">
        <v>267</v>
      </c>
      <c r="N249" t="s">
        <v>268</v>
      </c>
      <c r="O249" t="str">
        <f t="shared" si="3"/>
        <v>sox10:meGFP</v>
      </c>
    </row>
    <row r="250" spans="1:15" x14ac:dyDescent="0.3">
      <c r="A250">
        <v>4248</v>
      </c>
      <c r="B250">
        <v>43208</v>
      </c>
      <c r="D250" t="s">
        <v>171</v>
      </c>
      <c r="E250" t="s">
        <v>154</v>
      </c>
      <c r="G250">
        <v>12</v>
      </c>
      <c r="H250" t="s">
        <v>165</v>
      </c>
      <c r="I250">
        <v>2784</v>
      </c>
      <c r="K250" t="s">
        <v>171</v>
      </c>
      <c r="L250">
        <v>2912</v>
      </c>
      <c r="M250" t="s">
        <v>85</v>
      </c>
      <c r="O250" t="str">
        <f t="shared" si="3"/>
        <v>Tg[cntn1b:mcherry]==Tg[mbp:EGFP-CAAX]</v>
      </c>
    </row>
    <row r="251" spans="1:15" x14ac:dyDescent="0.3">
      <c r="A251">
        <v>4249</v>
      </c>
      <c r="B251">
        <v>43215</v>
      </c>
      <c r="C251" t="s">
        <v>160</v>
      </c>
      <c r="G251">
        <v>12</v>
      </c>
      <c r="H251" t="s">
        <v>13</v>
      </c>
      <c r="I251">
        <v>3002</v>
      </c>
      <c r="J251" t="s">
        <v>14</v>
      </c>
      <c r="L251">
        <v>3002</v>
      </c>
      <c r="M251" t="s">
        <v>14</v>
      </c>
      <c r="O251" t="str">
        <f t="shared" si="3"/>
        <v>NF1a+/+;NF1b+/-</v>
      </c>
    </row>
    <row r="252" spans="1:15" x14ac:dyDescent="0.3">
      <c r="A252">
        <v>4250</v>
      </c>
      <c r="B252">
        <v>43215</v>
      </c>
      <c r="D252" t="s">
        <v>269</v>
      </c>
      <c r="G252">
        <v>5</v>
      </c>
      <c r="H252" t="s">
        <v>140</v>
      </c>
      <c r="I252">
        <v>2911</v>
      </c>
      <c r="J252" t="s">
        <v>85</v>
      </c>
      <c r="L252">
        <v>2730</v>
      </c>
      <c r="N252" t="s">
        <v>139</v>
      </c>
      <c r="O252" t="str">
        <f t="shared" si="3"/>
        <v>tg[sox10:mrfp]</v>
      </c>
    </row>
    <row r="253" spans="1:15" x14ac:dyDescent="0.3">
      <c r="A253">
        <v>4251</v>
      </c>
      <c r="B253">
        <v>43215</v>
      </c>
      <c r="C253" t="s">
        <v>213</v>
      </c>
      <c r="D253" t="s">
        <v>121</v>
      </c>
      <c r="G253">
        <v>30</v>
      </c>
      <c r="H253" t="s">
        <v>114</v>
      </c>
      <c r="I253">
        <v>2126</v>
      </c>
      <c r="J253" t="s">
        <v>214</v>
      </c>
      <c r="K253" t="s">
        <v>121</v>
      </c>
      <c r="L253">
        <v>2588</v>
      </c>
      <c r="M253" t="s">
        <v>85</v>
      </c>
      <c r="O253" t="str">
        <f t="shared" si="3"/>
        <v>ftl+/+;+/-==Tg[nkx2.2a:mGFP]</v>
      </c>
    </row>
    <row r="254" spans="1:15" x14ac:dyDescent="0.3">
      <c r="A254">
        <v>4252</v>
      </c>
      <c r="B254">
        <v>43215</v>
      </c>
      <c r="D254" t="s">
        <v>211</v>
      </c>
      <c r="G254">
        <v>15</v>
      </c>
      <c r="H254" t="s">
        <v>114</v>
      </c>
      <c r="I254">
        <v>2588</v>
      </c>
      <c r="J254" t="s">
        <v>85</v>
      </c>
      <c r="L254">
        <v>3140</v>
      </c>
      <c r="M254" t="s">
        <v>211</v>
      </c>
      <c r="O254" t="str">
        <f t="shared" si="3"/>
        <v>Tg[GFAP:EGFP]</v>
      </c>
    </row>
    <row r="255" spans="1:15" x14ac:dyDescent="0.3">
      <c r="A255">
        <v>4253</v>
      </c>
      <c r="B255">
        <v>43215</v>
      </c>
      <c r="C255" t="s">
        <v>12</v>
      </c>
      <c r="G255">
        <v>150</v>
      </c>
      <c r="H255" t="s">
        <v>114</v>
      </c>
      <c r="I255">
        <v>3045</v>
      </c>
      <c r="J255" t="s">
        <v>12</v>
      </c>
      <c r="L255">
        <v>3045</v>
      </c>
      <c r="M255" t="s">
        <v>12</v>
      </c>
      <c r="O255" t="str">
        <f t="shared" si="3"/>
        <v>AB*</v>
      </c>
    </row>
    <row r="256" spans="1:15" x14ac:dyDescent="0.3">
      <c r="A256">
        <v>4254</v>
      </c>
      <c r="B256">
        <v>43215</v>
      </c>
      <c r="D256" t="s">
        <v>128</v>
      </c>
      <c r="G256">
        <v>150</v>
      </c>
      <c r="H256" t="s">
        <v>114</v>
      </c>
      <c r="I256">
        <v>2587</v>
      </c>
      <c r="K256" t="s">
        <v>128</v>
      </c>
      <c r="L256">
        <v>2587</v>
      </c>
      <c r="M256" t="s">
        <v>128</v>
      </c>
      <c r="O256" t="str">
        <f t="shared" si="3"/>
        <v>Tg[aldoca:mcherry]</v>
      </c>
    </row>
    <row r="257" spans="1:15" x14ac:dyDescent="0.3">
      <c r="A257">
        <v>4255</v>
      </c>
      <c r="B257">
        <v>43215</v>
      </c>
      <c r="D257" t="s">
        <v>270</v>
      </c>
      <c r="G257">
        <v>40</v>
      </c>
      <c r="H257" t="s">
        <v>50</v>
      </c>
      <c r="I257">
        <v>2691</v>
      </c>
      <c r="K257" t="s">
        <v>270</v>
      </c>
      <c r="L257">
        <v>2691</v>
      </c>
      <c r="N257" t="s">
        <v>270</v>
      </c>
      <c r="O257" t="str">
        <f t="shared" si="3"/>
        <v>Tg(mnx1:mcerulean3)</v>
      </c>
    </row>
    <row r="258" spans="1:15" x14ac:dyDescent="0.3">
      <c r="A258">
        <v>4256</v>
      </c>
      <c r="B258">
        <v>43215</v>
      </c>
      <c r="D258" t="s">
        <v>271</v>
      </c>
      <c r="G258">
        <v>25</v>
      </c>
      <c r="H258" t="s">
        <v>50</v>
      </c>
      <c r="I258">
        <v>2891</v>
      </c>
      <c r="J258" t="s">
        <v>12</v>
      </c>
      <c r="L258">
        <v>3052</v>
      </c>
      <c r="N258" t="s">
        <v>271</v>
      </c>
      <c r="O258" t="str">
        <f t="shared" si="3"/>
        <v>Tg(hb9:tagYFP-ntr)</v>
      </c>
    </row>
    <row r="259" spans="1:15" x14ac:dyDescent="0.3">
      <c r="A259">
        <v>4257</v>
      </c>
      <c r="B259">
        <v>43215</v>
      </c>
      <c r="D259" t="s">
        <v>272</v>
      </c>
      <c r="G259">
        <v>10</v>
      </c>
      <c r="H259" t="s">
        <v>50</v>
      </c>
      <c r="I259">
        <v>3124</v>
      </c>
      <c r="K259" t="s">
        <v>273</v>
      </c>
      <c r="L259">
        <v>2891</v>
      </c>
      <c r="M259" t="s">
        <v>12</v>
      </c>
      <c r="O259" t="str">
        <f t="shared" ref="O259:O322" si="4">TEXTJOIN("==",TRUE,C259:F259)</f>
        <v>Tg(sox10:eos)</v>
      </c>
    </row>
    <row r="260" spans="1:15" x14ac:dyDescent="0.3">
      <c r="A260">
        <v>4258</v>
      </c>
      <c r="B260">
        <v>43215</v>
      </c>
      <c r="C260" t="s">
        <v>274</v>
      </c>
      <c r="D260" t="s">
        <v>275</v>
      </c>
      <c r="E260" t="s">
        <v>276</v>
      </c>
      <c r="G260">
        <v>60</v>
      </c>
      <c r="H260" t="s">
        <v>50</v>
      </c>
      <c r="I260">
        <v>2891</v>
      </c>
      <c r="J260" t="s">
        <v>12</v>
      </c>
      <c r="L260">
        <v>2830</v>
      </c>
      <c r="M260" t="s">
        <v>277</v>
      </c>
      <c r="N260" t="s">
        <v>275</v>
      </c>
      <c r="O260" t="str">
        <f t="shared" si="4"/>
        <v>Lingo1a +/+;+/-==Tg(olig2:dsred2)==UNSORTED</v>
      </c>
    </row>
    <row r="261" spans="1:15" x14ac:dyDescent="0.3">
      <c r="A261">
        <v>4259</v>
      </c>
      <c r="B261">
        <v>43215</v>
      </c>
      <c r="C261" t="s">
        <v>278</v>
      </c>
      <c r="D261" t="s">
        <v>279</v>
      </c>
      <c r="E261" t="s">
        <v>276</v>
      </c>
      <c r="G261">
        <v>50</v>
      </c>
      <c r="H261" t="s">
        <v>50</v>
      </c>
      <c r="I261">
        <v>2462</v>
      </c>
      <c r="K261" t="s">
        <v>279</v>
      </c>
      <c r="L261">
        <v>2440</v>
      </c>
      <c r="M261" t="s">
        <v>280</v>
      </c>
      <c r="O261" t="str">
        <f t="shared" si="4"/>
        <v>Lingo1b +/+;+/-==Tg(sox10:nls-eos)==UNSORTED</v>
      </c>
    </row>
    <row r="262" spans="1:15" x14ac:dyDescent="0.3">
      <c r="A262">
        <v>4260</v>
      </c>
      <c r="B262">
        <v>43215</v>
      </c>
      <c r="C262" t="s">
        <v>281</v>
      </c>
      <c r="G262">
        <v>100</v>
      </c>
      <c r="H262" t="s">
        <v>50</v>
      </c>
      <c r="I262">
        <v>2891</v>
      </c>
      <c r="J262" t="s">
        <v>12</v>
      </c>
      <c r="L262">
        <v>2670</v>
      </c>
      <c r="M262" t="s">
        <v>282</v>
      </c>
      <c r="O262" t="str">
        <f t="shared" si="4"/>
        <v>Nrg1z26 +/+;+/-</v>
      </c>
    </row>
    <row r="263" spans="1:15" x14ac:dyDescent="0.3">
      <c r="A263">
        <v>4261</v>
      </c>
      <c r="B263">
        <v>43215</v>
      </c>
      <c r="C263" t="s">
        <v>281</v>
      </c>
      <c r="D263" t="s">
        <v>272</v>
      </c>
      <c r="G263">
        <v>50</v>
      </c>
      <c r="H263" t="s">
        <v>50</v>
      </c>
      <c r="I263">
        <v>2976</v>
      </c>
      <c r="J263" t="s">
        <v>282</v>
      </c>
      <c r="L263">
        <v>2891</v>
      </c>
      <c r="M263" t="s">
        <v>12</v>
      </c>
      <c r="O263" t="str">
        <f t="shared" si="4"/>
        <v>Nrg1z26 +/+;+/-==Tg(sox10:eos)</v>
      </c>
    </row>
    <row r="264" spans="1:15" x14ac:dyDescent="0.3">
      <c r="A264">
        <v>4262</v>
      </c>
      <c r="B264">
        <v>43215</v>
      </c>
      <c r="D264" t="s">
        <v>283</v>
      </c>
      <c r="G264">
        <v>17</v>
      </c>
      <c r="H264" t="s">
        <v>234</v>
      </c>
      <c r="I264">
        <v>2878</v>
      </c>
      <c r="K264" t="s">
        <v>283</v>
      </c>
      <c r="L264">
        <v>2878</v>
      </c>
      <c r="N264" t="s">
        <v>283</v>
      </c>
      <c r="O264" t="str">
        <f t="shared" si="4"/>
        <v>Tg(mpz:gfp)</v>
      </c>
    </row>
    <row r="265" spans="1:15" x14ac:dyDescent="0.3">
      <c r="A265">
        <v>4263</v>
      </c>
      <c r="B265">
        <v>43215</v>
      </c>
      <c r="C265" t="s">
        <v>284</v>
      </c>
      <c r="D265" t="s">
        <v>275</v>
      </c>
      <c r="E265" t="s">
        <v>20</v>
      </c>
      <c r="F265" t="s">
        <v>276</v>
      </c>
      <c r="G265">
        <v>50</v>
      </c>
      <c r="H265" t="s">
        <v>50</v>
      </c>
      <c r="I265">
        <v>2884</v>
      </c>
      <c r="J265" t="s">
        <v>284</v>
      </c>
      <c r="K265" t="s">
        <v>285</v>
      </c>
      <c r="L265">
        <v>2666</v>
      </c>
      <c r="M265" t="s">
        <v>12</v>
      </c>
      <c r="O265" t="str">
        <f t="shared" si="4"/>
        <v>Gpr126+/+;+/-==Tg(olig2:dsred2)==Tg(mbp:egfp-caax)==UNSORTED</v>
      </c>
    </row>
    <row r="266" spans="1:15" x14ac:dyDescent="0.3">
      <c r="A266">
        <v>4264</v>
      </c>
      <c r="B266">
        <v>43215</v>
      </c>
      <c r="C266" t="s">
        <v>286</v>
      </c>
      <c r="D266" t="s">
        <v>287</v>
      </c>
      <c r="G266">
        <v>45</v>
      </c>
      <c r="H266" t="s">
        <v>50</v>
      </c>
      <c r="I266">
        <v>2743</v>
      </c>
      <c r="J266" t="s">
        <v>288</v>
      </c>
      <c r="K266" t="s">
        <v>287</v>
      </c>
      <c r="L266">
        <v>2891</v>
      </c>
      <c r="M266" t="s">
        <v>12</v>
      </c>
      <c r="O266" t="str">
        <f t="shared" si="4"/>
        <v>PlexinA3+/+;+/-==Tg(nbt:dsred)</v>
      </c>
    </row>
    <row r="267" spans="1:15" x14ac:dyDescent="0.3">
      <c r="A267">
        <v>4265</v>
      </c>
      <c r="B267">
        <v>43215</v>
      </c>
      <c r="C267" t="s">
        <v>286</v>
      </c>
      <c r="G267">
        <v>75</v>
      </c>
      <c r="H267" t="s">
        <v>50</v>
      </c>
      <c r="I267">
        <v>2743</v>
      </c>
      <c r="J267" t="s">
        <v>288</v>
      </c>
      <c r="K267" t="s">
        <v>287</v>
      </c>
      <c r="L267">
        <v>2891</v>
      </c>
      <c r="M267" t="s">
        <v>12</v>
      </c>
      <c r="O267" t="str">
        <f t="shared" si="4"/>
        <v>PlexinA3+/+;+/-</v>
      </c>
    </row>
    <row r="268" spans="1:15" x14ac:dyDescent="0.3">
      <c r="A268">
        <v>4266</v>
      </c>
      <c r="B268">
        <v>43215</v>
      </c>
      <c r="C268" t="s">
        <v>274</v>
      </c>
      <c r="D268" t="s">
        <v>279</v>
      </c>
      <c r="E268" t="s">
        <v>276</v>
      </c>
      <c r="G268">
        <v>80</v>
      </c>
      <c r="H268" t="s">
        <v>50</v>
      </c>
      <c r="I268">
        <v>2891</v>
      </c>
      <c r="J268" t="s">
        <v>12</v>
      </c>
      <c r="L268">
        <v>2830</v>
      </c>
      <c r="M268" t="s">
        <v>289</v>
      </c>
      <c r="N268" t="s">
        <v>279</v>
      </c>
      <c r="O268" t="str">
        <f t="shared" si="4"/>
        <v>Lingo1a +/+;+/-==Tg(sox10:nls-eos)==UNSORTED</v>
      </c>
    </row>
    <row r="269" spans="1:15" x14ac:dyDescent="0.3">
      <c r="A269">
        <v>4267</v>
      </c>
      <c r="B269">
        <v>43215</v>
      </c>
      <c r="C269" t="s">
        <v>290</v>
      </c>
      <c r="G269">
        <v>53</v>
      </c>
      <c r="H269" t="s">
        <v>16</v>
      </c>
      <c r="I269">
        <v>3082</v>
      </c>
      <c r="J269" t="s">
        <v>291</v>
      </c>
      <c r="K269" t="s">
        <v>15</v>
      </c>
      <c r="L269">
        <v>2965</v>
      </c>
      <c r="M269" t="s">
        <v>12</v>
      </c>
      <c r="O269" t="str">
        <f t="shared" si="4"/>
        <v>adora2aa+/-,+/+;adora2ab (ZFN)+/-,+/+</v>
      </c>
    </row>
    <row r="270" spans="1:15" x14ac:dyDescent="0.3">
      <c r="A270">
        <v>4268</v>
      </c>
      <c r="B270">
        <v>43215</v>
      </c>
      <c r="C270" t="s">
        <v>290</v>
      </c>
      <c r="D270" t="s">
        <v>15</v>
      </c>
      <c r="G270">
        <v>46</v>
      </c>
      <c r="H270" t="s">
        <v>16</v>
      </c>
      <c r="I270">
        <v>3082</v>
      </c>
      <c r="J270" t="s">
        <v>291</v>
      </c>
      <c r="K270" t="s">
        <v>15</v>
      </c>
      <c r="L270">
        <v>2965</v>
      </c>
      <c r="M270" t="s">
        <v>12</v>
      </c>
      <c r="O270" t="str">
        <f t="shared" si="4"/>
        <v>adora2aa+/-,+/+;adora2ab (ZFN)+/-,+/+==Tg(olig2:dsred)</v>
      </c>
    </row>
    <row r="271" spans="1:15" x14ac:dyDescent="0.3">
      <c r="A271">
        <v>4269</v>
      </c>
      <c r="B271">
        <v>43215</v>
      </c>
      <c r="C271" t="s">
        <v>292</v>
      </c>
      <c r="G271">
        <v>51</v>
      </c>
      <c r="H271" t="s">
        <v>16</v>
      </c>
      <c r="I271">
        <v>2957</v>
      </c>
      <c r="J271" t="s">
        <v>293</v>
      </c>
      <c r="L271">
        <v>2965</v>
      </c>
      <c r="M271" t="s">
        <v>12</v>
      </c>
      <c r="O271" t="str">
        <f t="shared" si="4"/>
        <v>adora2aa+/-;adora2ab (ZFN)+/-,+/+</v>
      </c>
    </row>
    <row r="272" spans="1:15" x14ac:dyDescent="0.3">
      <c r="A272">
        <v>4270</v>
      </c>
      <c r="B272">
        <v>43215</v>
      </c>
      <c r="D272" t="s">
        <v>24</v>
      </c>
      <c r="G272">
        <v>33</v>
      </c>
      <c r="H272" t="s">
        <v>178</v>
      </c>
      <c r="I272">
        <v>2965</v>
      </c>
      <c r="J272" t="s">
        <v>12</v>
      </c>
      <c r="L272">
        <v>2178</v>
      </c>
      <c r="N272" t="s">
        <v>24</v>
      </c>
      <c r="O272" t="str">
        <f t="shared" si="4"/>
        <v>Tg(tnfa:gfp)</v>
      </c>
    </row>
    <row r="273" spans="1:15" x14ac:dyDescent="0.3">
      <c r="A273">
        <v>4271</v>
      </c>
      <c r="B273">
        <v>43215</v>
      </c>
      <c r="D273" t="s">
        <v>294</v>
      </c>
      <c r="G273">
        <v>26</v>
      </c>
      <c r="H273" t="s">
        <v>178</v>
      </c>
      <c r="I273">
        <v>2176</v>
      </c>
      <c r="K273" t="s">
        <v>294</v>
      </c>
      <c r="L273">
        <v>2965</v>
      </c>
      <c r="M273" t="s">
        <v>12</v>
      </c>
      <c r="O273" t="str">
        <f t="shared" si="4"/>
        <v>Tg(nfkb:gfp)</v>
      </c>
    </row>
    <row r="274" spans="1:15" x14ac:dyDescent="0.3">
      <c r="A274">
        <v>4272</v>
      </c>
      <c r="B274">
        <v>43215</v>
      </c>
      <c r="D274" t="s">
        <v>94</v>
      </c>
      <c r="E274" t="s">
        <v>219</v>
      </c>
      <c r="G274">
        <v>5</v>
      </c>
      <c r="H274" t="s">
        <v>33</v>
      </c>
      <c r="I274">
        <v>2698</v>
      </c>
      <c r="K274" t="s">
        <v>295</v>
      </c>
      <c r="L274">
        <v>2782</v>
      </c>
      <c r="N274" t="s">
        <v>296</v>
      </c>
      <c r="O274" t="str">
        <f t="shared" si="4"/>
        <v>Tg(sox10:Gal4);(cmlc2:GFP)==Tg(UAS:GFP-2xFYVE)</v>
      </c>
    </row>
    <row r="275" spans="1:15" x14ac:dyDescent="0.3">
      <c r="A275">
        <v>4273</v>
      </c>
      <c r="B275">
        <v>43215</v>
      </c>
      <c r="D275" t="s">
        <v>94</v>
      </c>
      <c r="E275" t="s">
        <v>219</v>
      </c>
      <c r="F275" t="s">
        <v>95</v>
      </c>
      <c r="G275">
        <v>8</v>
      </c>
      <c r="H275" t="s">
        <v>33</v>
      </c>
      <c r="I275">
        <v>2698</v>
      </c>
      <c r="K275" t="s">
        <v>295</v>
      </c>
      <c r="L275">
        <v>2782</v>
      </c>
      <c r="N275" t="s">
        <v>296</v>
      </c>
      <c r="O275" t="str">
        <f t="shared" si="4"/>
        <v>Tg(sox10:Gal4);(cmlc2:GFP)==Tg(UAS:GFP-2xFYVE)==Tg(UAS:mCherry)</v>
      </c>
    </row>
    <row r="276" spans="1:15" x14ac:dyDescent="0.3">
      <c r="A276">
        <v>4274</v>
      </c>
      <c r="B276">
        <v>43215</v>
      </c>
      <c r="D276" t="s">
        <v>31</v>
      </c>
      <c r="G276">
        <v>28</v>
      </c>
      <c r="H276" t="s">
        <v>33</v>
      </c>
      <c r="I276">
        <v>3037</v>
      </c>
      <c r="J276" t="s">
        <v>85</v>
      </c>
      <c r="L276">
        <v>2363</v>
      </c>
      <c r="N276" t="s">
        <v>31</v>
      </c>
      <c r="O276" t="str">
        <f t="shared" si="4"/>
        <v>Tg(nkx2.2a:nls-mCherry)</v>
      </c>
    </row>
    <row r="277" spans="1:15" x14ac:dyDescent="0.3">
      <c r="A277">
        <v>4275</v>
      </c>
      <c r="B277">
        <v>43215</v>
      </c>
      <c r="D277" t="s">
        <v>25</v>
      </c>
      <c r="E277" t="s">
        <v>26</v>
      </c>
      <c r="G277">
        <v>42</v>
      </c>
      <c r="H277" t="s">
        <v>172</v>
      </c>
      <c r="I277">
        <v>2895</v>
      </c>
      <c r="J277" t="s">
        <v>85</v>
      </c>
      <c r="L277">
        <v>2729</v>
      </c>
      <c r="N277" t="s">
        <v>28</v>
      </c>
      <c r="O277" t="str">
        <f t="shared" si="4"/>
        <v>Tg(pu1:Gal4)==Tg(UAS:GFP)</v>
      </c>
    </row>
    <row r="278" spans="1:15" x14ac:dyDescent="0.3">
      <c r="A278">
        <v>4276</v>
      </c>
      <c r="B278">
        <v>43215</v>
      </c>
      <c r="D278" t="s">
        <v>91</v>
      </c>
      <c r="G278">
        <v>8</v>
      </c>
      <c r="H278" t="s">
        <v>33</v>
      </c>
      <c r="I278">
        <v>2576</v>
      </c>
      <c r="K278" t="s">
        <v>297</v>
      </c>
      <c r="L278">
        <v>2895</v>
      </c>
      <c r="M278" t="s">
        <v>85</v>
      </c>
      <c r="O278" t="str">
        <f t="shared" si="4"/>
        <v>Tg(sox10:TagRFP) F2</v>
      </c>
    </row>
    <row r="279" spans="1:15" x14ac:dyDescent="0.3">
      <c r="A279">
        <v>4277</v>
      </c>
      <c r="B279">
        <v>43215</v>
      </c>
      <c r="D279" t="s">
        <v>224</v>
      </c>
      <c r="G279">
        <v>23</v>
      </c>
      <c r="H279" t="s">
        <v>33</v>
      </c>
      <c r="I279">
        <v>2895</v>
      </c>
      <c r="J279" t="s">
        <v>85</v>
      </c>
      <c r="L279">
        <v>3051</v>
      </c>
      <c r="N279" t="s">
        <v>224</v>
      </c>
      <c r="O279" t="str">
        <f t="shared" si="4"/>
        <v>Tg(sox10:lamp1-GFP);(cmlc2:GFP)</v>
      </c>
    </row>
    <row r="280" spans="1:15" x14ac:dyDescent="0.3">
      <c r="A280">
        <v>4278</v>
      </c>
      <c r="B280">
        <v>43215</v>
      </c>
      <c r="D280" t="s">
        <v>94</v>
      </c>
      <c r="E280" t="s">
        <v>95</v>
      </c>
      <c r="G280">
        <v>22</v>
      </c>
      <c r="H280" t="s">
        <v>172</v>
      </c>
      <c r="I280">
        <v>2698</v>
      </c>
      <c r="K280" t="s">
        <v>295</v>
      </c>
      <c r="L280">
        <v>2782</v>
      </c>
      <c r="N280" t="s">
        <v>296</v>
      </c>
      <c r="O280" t="str">
        <f t="shared" si="4"/>
        <v>Tg(sox10:Gal4);(cmlc2:GFP)==Tg(UAS:mCherry)</v>
      </c>
    </row>
    <row r="281" spans="1:15" x14ac:dyDescent="0.3">
      <c r="A281">
        <v>4279</v>
      </c>
      <c r="B281">
        <v>43215</v>
      </c>
      <c r="D281" t="s">
        <v>94</v>
      </c>
      <c r="G281">
        <v>7</v>
      </c>
      <c r="H281" t="s">
        <v>33</v>
      </c>
      <c r="I281">
        <v>2698</v>
      </c>
      <c r="K281" t="s">
        <v>295</v>
      </c>
      <c r="L281">
        <v>2782</v>
      </c>
      <c r="N281" t="s">
        <v>296</v>
      </c>
      <c r="O281" t="str">
        <f t="shared" si="4"/>
        <v>Tg(sox10:Gal4);(cmlc2:GFP)</v>
      </c>
    </row>
    <row r="282" spans="1:15" x14ac:dyDescent="0.3">
      <c r="A282">
        <v>4280</v>
      </c>
      <c r="B282">
        <v>43215</v>
      </c>
      <c r="D282" t="s">
        <v>84</v>
      </c>
      <c r="G282">
        <v>25</v>
      </c>
      <c r="H282" t="s">
        <v>172</v>
      </c>
      <c r="I282">
        <v>2412</v>
      </c>
      <c r="K282" t="s">
        <v>84</v>
      </c>
      <c r="L282">
        <v>2895</v>
      </c>
      <c r="M282" t="s">
        <v>85</v>
      </c>
      <c r="O282" t="str">
        <f t="shared" si="4"/>
        <v>Tg(sox10:nls-EOS)</v>
      </c>
    </row>
    <row r="283" spans="1:15" x14ac:dyDescent="0.3">
      <c r="A283">
        <v>4281</v>
      </c>
      <c r="B283">
        <v>43215</v>
      </c>
      <c r="D283" t="s">
        <v>32</v>
      </c>
      <c r="G283">
        <v>55</v>
      </c>
      <c r="H283" t="s">
        <v>172</v>
      </c>
      <c r="I283">
        <v>3037</v>
      </c>
      <c r="J283" t="s">
        <v>85</v>
      </c>
      <c r="L283">
        <v>2073</v>
      </c>
      <c r="N283" t="s">
        <v>32</v>
      </c>
      <c r="O283" t="str">
        <f t="shared" si="4"/>
        <v>Tg(nkx2.2a:nls-EGFP)</v>
      </c>
    </row>
    <row r="284" spans="1:15" x14ac:dyDescent="0.3">
      <c r="A284">
        <v>4282</v>
      </c>
      <c r="B284">
        <v>43215</v>
      </c>
      <c r="D284" t="s">
        <v>174</v>
      </c>
      <c r="G284">
        <v>33</v>
      </c>
      <c r="H284" t="s">
        <v>172</v>
      </c>
      <c r="I284">
        <v>2800</v>
      </c>
      <c r="K284" t="s">
        <v>174</v>
      </c>
      <c r="L284">
        <v>2895</v>
      </c>
      <c r="M284" t="s">
        <v>85</v>
      </c>
      <c r="O284" t="str">
        <f t="shared" si="4"/>
        <v>Tg(mpeg1:mCherry)</v>
      </c>
    </row>
    <row r="285" spans="1:15" x14ac:dyDescent="0.3">
      <c r="A285">
        <v>4283</v>
      </c>
      <c r="B285">
        <v>43215</v>
      </c>
      <c r="D285" t="s">
        <v>173</v>
      </c>
      <c r="G285">
        <v>40</v>
      </c>
      <c r="H285" t="s">
        <v>172</v>
      </c>
      <c r="I285">
        <v>2800</v>
      </c>
      <c r="K285" t="s">
        <v>173</v>
      </c>
      <c r="L285">
        <v>2895</v>
      </c>
      <c r="M285" t="s">
        <v>85</v>
      </c>
      <c r="O285" t="str">
        <f t="shared" si="4"/>
        <v>Tg(mpeg1:GFP)</v>
      </c>
    </row>
    <row r="286" spans="1:15" x14ac:dyDescent="0.3">
      <c r="A286">
        <v>4384</v>
      </c>
      <c r="B286">
        <v>43215</v>
      </c>
      <c r="D286" t="s">
        <v>250</v>
      </c>
      <c r="G286">
        <v>60</v>
      </c>
      <c r="H286" t="s">
        <v>251</v>
      </c>
      <c r="I286">
        <v>2447</v>
      </c>
      <c r="K286" t="s">
        <v>250</v>
      </c>
      <c r="L286">
        <v>2513</v>
      </c>
      <c r="M286" t="s">
        <v>12</v>
      </c>
      <c r="O286" t="str">
        <f t="shared" si="4"/>
        <v>nbt:dsRed</v>
      </c>
    </row>
    <row r="287" spans="1:15" x14ac:dyDescent="0.3">
      <c r="A287">
        <v>4385</v>
      </c>
      <c r="B287">
        <v>43215</v>
      </c>
      <c r="D287" t="s">
        <v>250</v>
      </c>
      <c r="G287">
        <v>55</v>
      </c>
      <c r="H287" t="s">
        <v>251</v>
      </c>
      <c r="I287">
        <v>2447</v>
      </c>
      <c r="K287" t="s">
        <v>250</v>
      </c>
      <c r="L287">
        <v>2513</v>
      </c>
      <c r="M287" t="s">
        <v>12</v>
      </c>
      <c r="O287" t="str">
        <f t="shared" si="4"/>
        <v>nbt:dsRed</v>
      </c>
    </row>
    <row r="288" spans="1:15" x14ac:dyDescent="0.3">
      <c r="A288">
        <v>4386</v>
      </c>
      <c r="B288">
        <v>43215</v>
      </c>
      <c r="D288" t="s">
        <v>250</v>
      </c>
      <c r="G288">
        <v>55</v>
      </c>
      <c r="H288" t="s">
        <v>251</v>
      </c>
      <c r="I288">
        <v>2447</v>
      </c>
      <c r="K288" t="s">
        <v>250</v>
      </c>
      <c r="L288">
        <v>2513</v>
      </c>
      <c r="M288" t="s">
        <v>12</v>
      </c>
      <c r="O288" t="str">
        <f t="shared" si="4"/>
        <v>nbt:dsRed</v>
      </c>
    </row>
    <row r="289" spans="1:15" x14ac:dyDescent="0.3">
      <c r="A289">
        <v>4387</v>
      </c>
      <c r="B289">
        <v>43215</v>
      </c>
      <c r="D289" t="s">
        <v>200</v>
      </c>
      <c r="G289">
        <v>37</v>
      </c>
      <c r="H289" t="s">
        <v>298</v>
      </c>
      <c r="I289" t="s">
        <v>299</v>
      </c>
      <c r="J289" t="s">
        <v>300</v>
      </c>
      <c r="K289" t="s">
        <v>246</v>
      </c>
      <c r="L289" t="s">
        <v>301</v>
      </c>
      <c r="M289" t="s">
        <v>300</v>
      </c>
      <c r="N289" t="s">
        <v>248</v>
      </c>
      <c r="O289" t="str">
        <f t="shared" si="4"/>
        <v>hb9:meGFP</v>
      </c>
    </row>
    <row r="290" spans="1:15" x14ac:dyDescent="0.3">
      <c r="A290">
        <v>4388</v>
      </c>
      <c r="B290">
        <v>43215</v>
      </c>
      <c r="D290" t="s">
        <v>75</v>
      </c>
      <c r="G290">
        <v>83</v>
      </c>
      <c r="H290" t="s">
        <v>298</v>
      </c>
      <c r="I290" t="s">
        <v>302</v>
      </c>
      <c r="J290" t="s">
        <v>300</v>
      </c>
      <c r="K290" t="s">
        <v>303</v>
      </c>
      <c r="L290" t="s">
        <v>304</v>
      </c>
      <c r="M290" t="s">
        <v>300</v>
      </c>
      <c r="N290" t="s">
        <v>305</v>
      </c>
      <c r="O290" t="str">
        <f t="shared" si="4"/>
        <v>dbx-1:GFP</v>
      </c>
    </row>
    <row r="291" spans="1:15" x14ac:dyDescent="0.3">
      <c r="A291">
        <v>4389</v>
      </c>
      <c r="B291">
        <v>43215</v>
      </c>
      <c r="D291" t="s">
        <v>75</v>
      </c>
      <c r="G291">
        <v>49</v>
      </c>
      <c r="H291" t="s">
        <v>298</v>
      </c>
      <c r="I291">
        <v>2960</v>
      </c>
      <c r="J291" t="s">
        <v>12</v>
      </c>
      <c r="L291">
        <v>1787</v>
      </c>
      <c r="N291" t="s">
        <v>75</v>
      </c>
      <c r="O291" t="str">
        <f t="shared" si="4"/>
        <v>dbx-1:GFP</v>
      </c>
    </row>
    <row r="292" spans="1:15" x14ac:dyDescent="0.3">
      <c r="A292">
        <v>4390</v>
      </c>
      <c r="B292">
        <v>43215</v>
      </c>
      <c r="D292" t="s">
        <v>306</v>
      </c>
      <c r="G292">
        <v>76</v>
      </c>
      <c r="H292" t="s">
        <v>251</v>
      </c>
      <c r="I292">
        <v>2513</v>
      </c>
      <c r="J292" t="s">
        <v>12</v>
      </c>
      <c r="L292">
        <v>3154</v>
      </c>
      <c r="N292" t="s">
        <v>306</v>
      </c>
      <c r="O292" t="str">
        <f t="shared" si="4"/>
        <v>sox10:eos</v>
      </c>
    </row>
    <row r="293" spans="1:15" x14ac:dyDescent="0.3">
      <c r="A293">
        <v>4391</v>
      </c>
      <c r="B293">
        <v>43215</v>
      </c>
      <c r="D293" t="s">
        <v>306</v>
      </c>
      <c r="G293">
        <v>66</v>
      </c>
      <c r="H293" t="s">
        <v>251</v>
      </c>
      <c r="I293">
        <v>2513</v>
      </c>
      <c r="J293" t="s">
        <v>12</v>
      </c>
      <c r="L293">
        <v>3154</v>
      </c>
      <c r="N293" t="s">
        <v>306</v>
      </c>
      <c r="O293" t="str">
        <f t="shared" si="4"/>
        <v>sox10:eos</v>
      </c>
    </row>
    <row r="294" spans="1:15" x14ac:dyDescent="0.3">
      <c r="A294">
        <v>4392</v>
      </c>
      <c r="B294">
        <v>43215</v>
      </c>
      <c r="C294" t="s">
        <v>307</v>
      </c>
      <c r="G294">
        <v>44</v>
      </c>
      <c r="H294" t="s">
        <v>298</v>
      </c>
      <c r="I294">
        <v>2769</v>
      </c>
      <c r="J294" t="s">
        <v>307</v>
      </c>
      <c r="L294">
        <v>2769</v>
      </c>
      <c r="M294" t="s">
        <v>307</v>
      </c>
      <c r="O294" t="str">
        <f t="shared" si="4"/>
        <v>cls(+/+,+/-)</v>
      </c>
    </row>
    <row r="295" spans="1:15" x14ac:dyDescent="0.3">
      <c r="A295">
        <v>4393</v>
      </c>
      <c r="B295">
        <v>43215</v>
      </c>
      <c r="C295" t="s">
        <v>307</v>
      </c>
      <c r="G295">
        <v>29</v>
      </c>
      <c r="H295" t="s">
        <v>298</v>
      </c>
      <c r="I295">
        <v>2769</v>
      </c>
      <c r="J295" t="s">
        <v>307</v>
      </c>
      <c r="L295">
        <v>2769</v>
      </c>
      <c r="M295" t="s">
        <v>307</v>
      </c>
      <c r="O295" t="str">
        <f t="shared" si="4"/>
        <v>cls(+/+,+/-)</v>
      </c>
    </row>
    <row r="296" spans="1:15" x14ac:dyDescent="0.3">
      <c r="A296">
        <v>4394</v>
      </c>
      <c r="B296">
        <v>43215</v>
      </c>
      <c r="C296" t="s">
        <v>307</v>
      </c>
      <c r="G296">
        <v>9</v>
      </c>
      <c r="H296" t="s">
        <v>298</v>
      </c>
      <c r="I296">
        <v>2682</v>
      </c>
      <c r="J296" t="s">
        <v>307</v>
      </c>
      <c r="L296">
        <v>2682</v>
      </c>
      <c r="M296" t="s">
        <v>307</v>
      </c>
      <c r="O296" t="str">
        <f t="shared" si="4"/>
        <v>cls(+/+,+/-)</v>
      </c>
    </row>
    <row r="297" spans="1:15" x14ac:dyDescent="0.3">
      <c r="A297">
        <v>4395</v>
      </c>
      <c r="B297">
        <v>43215</v>
      </c>
      <c r="C297" t="s">
        <v>254</v>
      </c>
      <c r="G297">
        <v>6</v>
      </c>
      <c r="H297" t="s">
        <v>298</v>
      </c>
      <c r="I297" t="s">
        <v>308</v>
      </c>
      <c r="J297" t="s">
        <v>254</v>
      </c>
      <c r="L297" t="s">
        <v>308</v>
      </c>
      <c r="M297" t="s">
        <v>254</v>
      </c>
      <c r="O297" t="str">
        <f t="shared" si="4"/>
        <v>cls(-/-)</v>
      </c>
    </row>
    <row r="298" spans="1:15" x14ac:dyDescent="0.3">
      <c r="A298">
        <v>4396</v>
      </c>
      <c r="B298">
        <v>43222</v>
      </c>
      <c r="D298" t="s">
        <v>309</v>
      </c>
      <c r="E298" t="s">
        <v>310</v>
      </c>
      <c r="G298">
        <v>75</v>
      </c>
      <c r="H298" t="s">
        <v>114</v>
      </c>
      <c r="I298">
        <v>2927</v>
      </c>
      <c r="J298" t="s">
        <v>12</v>
      </c>
      <c r="L298">
        <v>2927</v>
      </c>
      <c r="M298" t="s">
        <v>12</v>
      </c>
      <c r="O298" t="str">
        <f t="shared" si="4"/>
        <v>Tg[crip3(3.1):TagRFPpA] injected==Tg[cmlc2:EGFP] injected</v>
      </c>
    </row>
    <row r="299" spans="1:15" x14ac:dyDescent="0.3">
      <c r="A299">
        <v>4397</v>
      </c>
      <c r="B299">
        <v>43222</v>
      </c>
      <c r="D299" t="s">
        <v>154</v>
      </c>
      <c r="G299">
        <v>40</v>
      </c>
      <c r="H299" t="s">
        <v>140</v>
      </c>
      <c r="I299">
        <v>2684</v>
      </c>
      <c r="K299" t="s">
        <v>154</v>
      </c>
      <c r="L299">
        <v>2912</v>
      </c>
      <c r="M299" t="s">
        <v>12</v>
      </c>
      <c r="O299" t="str">
        <f t="shared" si="4"/>
        <v>Tg[mbp:EGFP-CAAX]</v>
      </c>
    </row>
    <row r="300" spans="1:15" x14ac:dyDescent="0.3">
      <c r="A300">
        <v>4398</v>
      </c>
      <c r="B300">
        <v>43222</v>
      </c>
      <c r="D300" t="s">
        <v>154</v>
      </c>
      <c r="G300">
        <v>55</v>
      </c>
      <c r="H300" t="s">
        <v>140</v>
      </c>
      <c r="I300">
        <v>2684</v>
      </c>
      <c r="K300" t="s">
        <v>154</v>
      </c>
      <c r="L300">
        <v>2912</v>
      </c>
      <c r="M300" t="s">
        <v>12</v>
      </c>
      <c r="O300" t="str">
        <f t="shared" si="4"/>
        <v>Tg[mbp:EGFP-CAAX]</v>
      </c>
    </row>
    <row r="301" spans="1:15" x14ac:dyDescent="0.3">
      <c r="A301">
        <v>4399</v>
      </c>
      <c r="B301">
        <v>43222</v>
      </c>
      <c r="D301" t="s">
        <v>157</v>
      </c>
      <c r="E301" t="s">
        <v>145</v>
      </c>
      <c r="G301">
        <v>36</v>
      </c>
      <c r="H301" t="s">
        <v>140</v>
      </c>
      <c r="I301">
        <v>2126</v>
      </c>
      <c r="K301" t="s">
        <v>157</v>
      </c>
      <c r="L301">
        <v>2914</v>
      </c>
      <c r="N301" t="s">
        <v>145</v>
      </c>
      <c r="O301" t="str">
        <f t="shared" si="4"/>
        <v>Tg[sox10:nls-eos]==Tg[olig2:dsred]</v>
      </c>
    </row>
    <row r="302" spans="1:15" x14ac:dyDescent="0.3">
      <c r="A302">
        <v>4400</v>
      </c>
      <c r="B302">
        <v>43222</v>
      </c>
      <c r="D302" t="s">
        <v>311</v>
      </c>
      <c r="G302">
        <v>100</v>
      </c>
      <c r="H302" t="s">
        <v>50</v>
      </c>
      <c r="I302">
        <v>2927</v>
      </c>
      <c r="J302" t="s">
        <v>12</v>
      </c>
      <c r="L302">
        <v>2927</v>
      </c>
      <c r="M302" t="s">
        <v>12</v>
      </c>
      <c r="O302" t="str">
        <f t="shared" si="4"/>
        <v>Clu(5.8):tagRFP; cmcl2:egfp F0</v>
      </c>
    </row>
    <row r="303" spans="1:15" x14ac:dyDescent="0.3">
      <c r="A303">
        <v>4401</v>
      </c>
      <c r="B303">
        <v>43222</v>
      </c>
      <c r="C303" t="s">
        <v>194</v>
      </c>
      <c r="G303">
        <v>110</v>
      </c>
      <c r="H303" t="s">
        <v>195</v>
      </c>
      <c r="I303">
        <v>2769</v>
      </c>
      <c r="J303" t="s">
        <v>307</v>
      </c>
      <c r="L303">
        <v>2769</v>
      </c>
      <c r="M303" t="s">
        <v>307</v>
      </c>
      <c r="O303" t="str">
        <f t="shared" si="4"/>
        <v>cls (+/+,+/-)</v>
      </c>
    </row>
    <row r="304" spans="1:15" x14ac:dyDescent="0.3">
      <c r="A304">
        <v>4402</v>
      </c>
      <c r="B304">
        <v>43222</v>
      </c>
      <c r="C304" t="s">
        <v>194</v>
      </c>
      <c r="G304">
        <v>49</v>
      </c>
      <c r="H304" t="s">
        <v>195</v>
      </c>
      <c r="I304" t="s">
        <v>312</v>
      </c>
      <c r="J304" t="s">
        <v>239</v>
      </c>
      <c r="K304" t="s">
        <v>313</v>
      </c>
      <c r="L304" t="s">
        <v>312</v>
      </c>
      <c r="M304" t="s">
        <v>239</v>
      </c>
      <c r="N304" t="s">
        <v>313</v>
      </c>
      <c r="O304" t="str">
        <f t="shared" si="4"/>
        <v>cls (+/+,+/-)</v>
      </c>
    </row>
    <row r="305" spans="1:15" x14ac:dyDescent="0.3">
      <c r="A305">
        <v>4403</v>
      </c>
      <c r="B305">
        <v>43222</v>
      </c>
      <c r="C305" t="s">
        <v>194</v>
      </c>
      <c r="G305">
        <v>131</v>
      </c>
      <c r="H305" t="s">
        <v>195</v>
      </c>
      <c r="I305" t="s">
        <v>312</v>
      </c>
      <c r="J305" t="s">
        <v>239</v>
      </c>
      <c r="K305" t="s">
        <v>313</v>
      </c>
      <c r="L305" t="s">
        <v>312</v>
      </c>
      <c r="M305" t="s">
        <v>239</v>
      </c>
      <c r="N305" t="s">
        <v>313</v>
      </c>
      <c r="O305" t="str">
        <f t="shared" si="4"/>
        <v>cls (+/+,+/-)</v>
      </c>
    </row>
    <row r="306" spans="1:15" x14ac:dyDescent="0.3">
      <c r="A306">
        <v>4404</v>
      </c>
      <c r="B306">
        <v>43222</v>
      </c>
      <c r="C306" t="s">
        <v>307</v>
      </c>
      <c r="G306">
        <v>41</v>
      </c>
      <c r="H306" t="s">
        <v>195</v>
      </c>
      <c r="I306" t="s">
        <v>312</v>
      </c>
      <c r="J306" t="s">
        <v>239</v>
      </c>
      <c r="K306" t="s">
        <v>313</v>
      </c>
      <c r="L306" t="s">
        <v>312</v>
      </c>
      <c r="M306" t="s">
        <v>239</v>
      </c>
      <c r="N306" t="s">
        <v>313</v>
      </c>
      <c r="O306" t="str">
        <f t="shared" si="4"/>
        <v>cls(+/+,+/-)</v>
      </c>
    </row>
    <row r="307" spans="1:15" x14ac:dyDescent="0.3">
      <c r="A307">
        <v>4405</v>
      </c>
      <c r="B307">
        <v>43222</v>
      </c>
      <c r="D307" t="s">
        <v>171</v>
      </c>
      <c r="E307" t="s">
        <v>154</v>
      </c>
      <c r="G307">
        <v>20</v>
      </c>
      <c r="H307" t="s">
        <v>314</v>
      </c>
      <c r="I307">
        <v>2784</v>
      </c>
      <c r="K307" t="s">
        <v>171</v>
      </c>
      <c r="L307">
        <v>2912</v>
      </c>
      <c r="M307" t="s">
        <v>85</v>
      </c>
      <c r="O307" t="str">
        <f t="shared" si="4"/>
        <v>Tg[cntn1b:mcherry]==Tg[mbp:EGFP-CAAX]</v>
      </c>
    </row>
    <row r="308" spans="1:15" x14ac:dyDescent="0.3">
      <c r="A308">
        <v>4406</v>
      </c>
      <c r="B308">
        <v>43231</v>
      </c>
      <c r="C308" t="s">
        <v>315</v>
      </c>
      <c r="G308">
        <v>70</v>
      </c>
      <c r="H308" t="s">
        <v>316</v>
      </c>
      <c r="I308">
        <v>2352</v>
      </c>
      <c r="J308" t="s">
        <v>315</v>
      </c>
      <c r="L308">
        <v>2352</v>
      </c>
      <c r="M308" t="s">
        <v>315</v>
      </c>
      <c r="O308" t="str">
        <f t="shared" si="4"/>
        <v>AB *</v>
      </c>
    </row>
    <row r="309" spans="1:15" x14ac:dyDescent="0.3">
      <c r="A309">
        <v>4407</v>
      </c>
      <c r="B309">
        <v>43231</v>
      </c>
      <c r="C309" t="s">
        <v>12</v>
      </c>
      <c r="G309">
        <v>25</v>
      </c>
      <c r="H309" t="s">
        <v>316</v>
      </c>
      <c r="I309">
        <v>2892</v>
      </c>
      <c r="J309" t="s">
        <v>315</v>
      </c>
      <c r="L309">
        <v>2892</v>
      </c>
      <c r="M309" t="s">
        <v>12</v>
      </c>
      <c r="O309" t="str">
        <f t="shared" si="4"/>
        <v>AB*</v>
      </c>
    </row>
    <row r="310" spans="1:15" x14ac:dyDescent="0.3">
      <c r="A310">
        <v>4408</v>
      </c>
      <c r="B310">
        <v>43234</v>
      </c>
      <c r="D310" t="s">
        <v>317</v>
      </c>
      <c r="E310" t="s">
        <v>318</v>
      </c>
      <c r="G310">
        <v>200</v>
      </c>
      <c r="H310" t="s">
        <v>114</v>
      </c>
      <c r="J310" t="s">
        <v>319</v>
      </c>
      <c r="N310" t="s">
        <v>320</v>
      </c>
      <c r="O310" t="str">
        <f t="shared" si="4"/>
        <v>Et[E1b:GAL4-VP16] (s1101tET)==Tg[UAS-E1b:Kaede] (s1999tTg)</v>
      </c>
    </row>
    <row r="311" spans="1:15" x14ac:dyDescent="0.3">
      <c r="A311">
        <v>4409</v>
      </c>
      <c r="B311">
        <v>43236</v>
      </c>
      <c r="C311" t="s">
        <v>321</v>
      </c>
      <c r="G311">
        <v>160</v>
      </c>
      <c r="H311" t="s">
        <v>114</v>
      </c>
      <c r="I311">
        <v>2293</v>
      </c>
      <c r="J311" t="s">
        <v>322</v>
      </c>
      <c r="L311">
        <v>3017</v>
      </c>
      <c r="M311" t="s">
        <v>85</v>
      </c>
      <c r="O311" t="str">
        <f t="shared" si="4"/>
        <v>ctr1+/+;+/-</v>
      </c>
    </row>
    <row r="312" spans="1:15" x14ac:dyDescent="0.3">
      <c r="A312">
        <v>4410</v>
      </c>
      <c r="B312">
        <v>43236</v>
      </c>
      <c r="C312" t="s">
        <v>323</v>
      </c>
      <c r="G312">
        <v>80</v>
      </c>
      <c r="H312" t="s">
        <v>114</v>
      </c>
      <c r="I312">
        <v>2158</v>
      </c>
      <c r="J312" t="s">
        <v>85</v>
      </c>
      <c r="L312">
        <v>2172</v>
      </c>
      <c r="M312" t="s">
        <v>324</v>
      </c>
      <c r="O312" t="str">
        <f t="shared" si="4"/>
        <v>PAM+/+;+/-</v>
      </c>
    </row>
    <row r="313" spans="1:15" x14ac:dyDescent="0.3">
      <c r="A313">
        <v>4411</v>
      </c>
      <c r="B313">
        <v>43236</v>
      </c>
      <c r="C313" t="s">
        <v>325</v>
      </c>
      <c r="G313">
        <v>50</v>
      </c>
      <c r="H313" t="s">
        <v>114</v>
      </c>
      <c r="I313">
        <v>3017</v>
      </c>
      <c r="J313" t="s">
        <v>85</v>
      </c>
      <c r="L313">
        <v>3017</v>
      </c>
      <c r="M313" t="s">
        <v>85</v>
      </c>
      <c r="O313" t="str">
        <f t="shared" si="4"/>
        <v>crip3 exon 1 sgRNA F0</v>
      </c>
    </row>
    <row r="314" spans="1:15" x14ac:dyDescent="0.3">
      <c r="A314">
        <v>4412</v>
      </c>
      <c r="B314">
        <v>43236</v>
      </c>
      <c r="C314" t="s">
        <v>326</v>
      </c>
      <c r="G314">
        <v>50</v>
      </c>
      <c r="H314" t="s">
        <v>114</v>
      </c>
      <c r="I314">
        <v>3017</v>
      </c>
      <c r="J314" t="s">
        <v>85</v>
      </c>
      <c r="L314">
        <v>3017</v>
      </c>
      <c r="O314" t="str">
        <f t="shared" si="4"/>
        <v>ndrg3a exon 2 sgRNA F0</v>
      </c>
    </row>
    <row r="315" spans="1:15" x14ac:dyDescent="0.3">
      <c r="A315">
        <v>4413</v>
      </c>
      <c r="B315">
        <v>43238</v>
      </c>
      <c r="D315" t="s">
        <v>327</v>
      </c>
      <c r="G315">
        <v>3</v>
      </c>
      <c r="H315" t="s">
        <v>316</v>
      </c>
      <c r="O315" t="str">
        <f t="shared" si="4"/>
        <v>Tg(sox10:zFlp) F0</v>
      </c>
    </row>
    <row r="316" spans="1:15" x14ac:dyDescent="0.3">
      <c r="A316">
        <v>4414</v>
      </c>
      <c r="B316">
        <v>43235</v>
      </c>
      <c r="C316" t="s">
        <v>328</v>
      </c>
      <c r="D316" t="s">
        <v>329</v>
      </c>
      <c r="E316" t="s">
        <v>330</v>
      </c>
      <c r="G316">
        <v>100</v>
      </c>
      <c r="H316" t="s">
        <v>50</v>
      </c>
      <c r="I316">
        <v>2409</v>
      </c>
      <c r="K316" t="s">
        <v>329</v>
      </c>
      <c r="L316">
        <v>2859</v>
      </c>
      <c r="M316" t="s">
        <v>12</v>
      </c>
      <c r="O316" t="str">
        <f t="shared" si="4"/>
        <v>lingo1b F0==Tg(olig2:eGFP)==unsorted</v>
      </c>
    </row>
    <row r="317" spans="1:15" x14ac:dyDescent="0.3">
      <c r="A317">
        <v>4415</v>
      </c>
      <c r="B317">
        <v>43235</v>
      </c>
      <c r="D317" t="s">
        <v>331</v>
      </c>
      <c r="G317">
        <v>90</v>
      </c>
      <c r="H317" t="s">
        <v>33</v>
      </c>
      <c r="K317" t="s">
        <v>332</v>
      </c>
      <c r="N317" t="s">
        <v>332</v>
      </c>
      <c r="O317" t="str">
        <f t="shared" si="4"/>
        <v>Tg(fli1a:EGFP)</v>
      </c>
    </row>
    <row r="318" spans="1:15" x14ac:dyDescent="0.3">
      <c r="A318">
        <v>4416</v>
      </c>
      <c r="B318">
        <v>43239</v>
      </c>
      <c r="C318" t="s">
        <v>333</v>
      </c>
      <c r="E318" t="s">
        <v>207</v>
      </c>
      <c r="F318" t="s">
        <v>330</v>
      </c>
      <c r="G318">
        <v>30</v>
      </c>
      <c r="H318" t="s">
        <v>50</v>
      </c>
      <c r="I318">
        <v>3085</v>
      </c>
      <c r="J318" t="s">
        <v>334</v>
      </c>
      <c r="L318">
        <v>3082</v>
      </c>
      <c r="M318" t="s">
        <v>335</v>
      </c>
      <c r="N318" t="s">
        <v>70</v>
      </c>
      <c r="O318" t="str">
        <f t="shared" si="4"/>
        <v>adora2aa +/-:++;adora2ab+/-,+/+ (-10bp)==tg(olig2:dsred)==unsorted</v>
      </c>
    </row>
    <row r="319" spans="1:15" x14ac:dyDescent="0.3">
      <c r="A319">
        <v>4417</v>
      </c>
      <c r="B319">
        <v>43239</v>
      </c>
      <c r="C319" t="s">
        <v>336</v>
      </c>
      <c r="E319" t="s">
        <v>207</v>
      </c>
      <c r="F319" t="s">
        <v>330</v>
      </c>
      <c r="G319">
        <v>40</v>
      </c>
      <c r="H319" t="s">
        <v>50</v>
      </c>
      <c r="I319">
        <v>3081</v>
      </c>
      <c r="J319" t="s">
        <v>337</v>
      </c>
      <c r="L319">
        <v>3151</v>
      </c>
      <c r="M319" t="s">
        <v>338</v>
      </c>
      <c r="N319" t="s">
        <v>70</v>
      </c>
      <c r="O319" t="str">
        <f t="shared" si="4"/>
        <v>adora2aa +/-:++;adora2ab+/-,+/+ (-13bp)==tg(olig2:dsred)==unsorted</v>
      </c>
    </row>
    <row r="320" spans="1:15" x14ac:dyDescent="0.3">
      <c r="A320">
        <v>4418</v>
      </c>
      <c r="B320">
        <v>43239</v>
      </c>
      <c r="C320" t="s">
        <v>339</v>
      </c>
      <c r="E320" t="s">
        <v>207</v>
      </c>
      <c r="F320" t="s">
        <v>330</v>
      </c>
      <c r="G320">
        <v>15</v>
      </c>
      <c r="H320" t="s">
        <v>50</v>
      </c>
      <c r="I320">
        <v>3122</v>
      </c>
      <c r="J320" t="s">
        <v>340</v>
      </c>
      <c r="L320">
        <v>3082</v>
      </c>
      <c r="M320" t="s">
        <v>335</v>
      </c>
      <c r="N320" t="s">
        <v>70</v>
      </c>
      <c r="O320" t="str">
        <f t="shared" si="4"/>
        <v>adora2aa +/-:++;adora2ab+/-,+/+ (-52bp)==tg(olig2:dsred)==unsorted</v>
      </c>
    </row>
    <row r="321" spans="1:15" x14ac:dyDescent="0.3">
      <c r="A321">
        <v>4419</v>
      </c>
      <c r="B321">
        <v>43242</v>
      </c>
      <c r="D321" t="s">
        <v>341</v>
      </c>
      <c r="G321">
        <v>40</v>
      </c>
      <c r="H321" t="s">
        <v>39</v>
      </c>
      <c r="J321" t="s">
        <v>342</v>
      </c>
      <c r="M321" t="s">
        <v>342</v>
      </c>
      <c r="O321" t="str">
        <f t="shared" si="4"/>
        <v>Tg[sox10:H2A-mcherry]</v>
      </c>
    </row>
    <row r="322" spans="1:15" x14ac:dyDescent="0.3">
      <c r="A322">
        <v>4420</v>
      </c>
      <c r="B322">
        <v>43242</v>
      </c>
      <c r="D322" t="s">
        <v>343</v>
      </c>
      <c r="G322">
        <v>40</v>
      </c>
      <c r="H322" t="s">
        <v>39</v>
      </c>
      <c r="J322" t="s">
        <v>342</v>
      </c>
      <c r="O322" t="str">
        <f t="shared" si="4"/>
        <v>Tg[sox10:nls-EOS]</v>
      </c>
    </row>
    <row r="323" spans="1:15" x14ac:dyDescent="0.3">
      <c r="A323">
        <v>4421</v>
      </c>
      <c r="B323">
        <v>43243</v>
      </c>
      <c r="C323" t="s">
        <v>344</v>
      </c>
      <c r="G323">
        <v>320</v>
      </c>
      <c r="H323" t="s">
        <v>114</v>
      </c>
      <c r="I323">
        <v>2156</v>
      </c>
      <c r="J323" t="s">
        <v>345</v>
      </c>
      <c r="L323">
        <v>2156</v>
      </c>
      <c r="M323" t="s">
        <v>345</v>
      </c>
      <c r="O323" t="str">
        <f t="shared" ref="O323:O386" si="5">TEXTJOIN("==",TRUE,C323:F323)</f>
        <v>coa6+/+;+/-;-/-</v>
      </c>
    </row>
    <row r="324" spans="1:15" x14ac:dyDescent="0.3">
      <c r="A324">
        <v>4422</v>
      </c>
      <c r="B324">
        <v>43245</v>
      </c>
      <c r="D324" t="s">
        <v>346</v>
      </c>
      <c r="G324">
        <v>45</v>
      </c>
      <c r="H324" t="s">
        <v>316</v>
      </c>
      <c r="O324" t="str">
        <f t="shared" si="5"/>
        <v>Tg(sox10:zFlp)</v>
      </c>
    </row>
    <row r="325" spans="1:15" x14ac:dyDescent="0.3">
      <c r="A325">
        <v>4423</v>
      </c>
      <c r="B325">
        <v>43245</v>
      </c>
      <c r="D325" t="s">
        <v>347</v>
      </c>
      <c r="G325">
        <v>3</v>
      </c>
      <c r="H325" t="s">
        <v>316</v>
      </c>
      <c r="O325" t="str">
        <f t="shared" si="5"/>
        <v>Tg(eab2:zFlp) F0</v>
      </c>
    </row>
    <row r="326" spans="1:15" x14ac:dyDescent="0.3">
      <c r="A326">
        <v>4424</v>
      </c>
      <c r="B326">
        <v>43243</v>
      </c>
      <c r="D326" t="s">
        <v>348</v>
      </c>
      <c r="G326">
        <v>29</v>
      </c>
      <c r="H326" t="s">
        <v>195</v>
      </c>
      <c r="I326">
        <v>2867</v>
      </c>
      <c r="K326" t="s">
        <v>348</v>
      </c>
      <c r="L326">
        <v>2960</v>
      </c>
      <c r="M326" t="s">
        <v>12</v>
      </c>
      <c r="O326" t="str">
        <f t="shared" si="5"/>
        <v>isl-1:GFP</v>
      </c>
    </row>
    <row r="327" spans="1:15" x14ac:dyDescent="0.3">
      <c r="A327">
        <v>4425</v>
      </c>
      <c r="B327">
        <v>43244</v>
      </c>
      <c r="C327" t="s">
        <v>213</v>
      </c>
      <c r="D327" t="s">
        <v>349</v>
      </c>
      <c r="G327">
        <v>40</v>
      </c>
      <c r="H327" t="s">
        <v>114</v>
      </c>
      <c r="I327">
        <v>2376</v>
      </c>
      <c r="J327" t="s">
        <v>214</v>
      </c>
      <c r="L327">
        <v>2900</v>
      </c>
      <c r="N327" t="s">
        <v>349</v>
      </c>
      <c r="O327" t="str">
        <f t="shared" si="5"/>
        <v>ftl+/+;+/-==Tg[sox10:mGFP]</v>
      </c>
    </row>
    <row r="328" spans="1:15" x14ac:dyDescent="0.3">
      <c r="A328">
        <v>4426</v>
      </c>
      <c r="B328">
        <v>43245</v>
      </c>
      <c r="D328" t="s">
        <v>350</v>
      </c>
      <c r="G328">
        <v>10</v>
      </c>
      <c r="H328" t="s">
        <v>114</v>
      </c>
      <c r="I328">
        <v>2261</v>
      </c>
      <c r="K328" t="s">
        <v>127</v>
      </c>
      <c r="L328">
        <v>2841</v>
      </c>
      <c r="N328" t="s">
        <v>351</v>
      </c>
      <c r="O328" t="str">
        <f t="shared" si="5"/>
        <v>Tg[gfap:mfsb-mcherry]</v>
      </c>
    </row>
    <row r="329" spans="1:15" x14ac:dyDescent="0.3">
      <c r="A329">
        <v>4427</v>
      </c>
      <c r="B329">
        <v>43244</v>
      </c>
      <c r="C329" t="s">
        <v>352</v>
      </c>
      <c r="D329" t="s">
        <v>37</v>
      </c>
      <c r="G329">
        <v>40</v>
      </c>
      <c r="H329" t="s">
        <v>39</v>
      </c>
      <c r="I329">
        <v>2338</v>
      </c>
      <c r="J329" t="s">
        <v>353</v>
      </c>
      <c r="K329" t="s">
        <v>37</v>
      </c>
      <c r="L329">
        <v>2338</v>
      </c>
      <c r="M329" t="s">
        <v>353</v>
      </c>
      <c r="N329" t="s">
        <v>37</v>
      </c>
      <c r="O329" t="str">
        <f t="shared" si="5"/>
        <v>ray +/-;+/+==Tg(sox10:mrfp)</v>
      </c>
    </row>
    <row r="330" spans="1:15" x14ac:dyDescent="0.3">
      <c r="A330">
        <v>4428</v>
      </c>
      <c r="B330">
        <v>43244</v>
      </c>
      <c r="C330" t="s">
        <v>352</v>
      </c>
      <c r="D330" t="s">
        <v>38</v>
      </c>
      <c r="G330">
        <v>60</v>
      </c>
      <c r="H330" t="s">
        <v>39</v>
      </c>
      <c r="I330">
        <v>2799</v>
      </c>
      <c r="J330" t="s">
        <v>353</v>
      </c>
      <c r="K330" t="s">
        <v>38</v>
      </c>
      <c r="L330">
        <v>2799</v>
      </c>
      <c r="M330" t="s">
        <v>353</v>
      </c>
      <c r="N330" t="s">
        <v>38</v>
      </c>
      <c r="O330" t="str">
        <f t="shared" si="5"/>
        <v>ray +/-;+/+==Tg(nkx2.2a:megfp)</v>
      </c>
    </row>
    <row r="331" spans="1:15" x14ac:dyDescent="0.3">
      <c r="A331">
        <v>4429</v>
      </c>
      <c r="B331">
        <v>43244</v>
      </c>
      <c r="C331" t="s">
        <v>352</v>
      </c>
      <c r="D331" t="s">
        <v>38</v>
      </c>
      <c r="E331" t="s">
        <v>37</v>
      </c>
      <c r="G331">
        <v>20</v>
      </c>
      <c r="H331" t="s">
        <v>39</v>
      </c>
      <c r="I331">
        <v>2807</v>
      </c>
      <c r="J331" t="s">
        <v>353</v>
      </c>
      <c r="K331" t="s">
        <v>354</v>
      </c>
      <c r="L331">
        <v>2807</v>
      </c>
      <c r="M331" t="s">
        <v>353</v>
      </c>
      <c r="N331" t="s">
        <v>354</v>
      </c>
      <c r="O331" t="str">
        <f t="shared" si="5"/>
        <v>ray +/-;+/+==Tg(nkx2.2a:megfp)==Tg(sox10:mrfp)</v>
      </c>
    </row>
    <row r="332" spans="1:15" x14ac:dyDescent="0.3">
      <c r="A332">
        <v>4430</v>
      </c>
      <c r="B332">
        <v>43244</v>
      </c>
      <c r="C332" t="s">
        <v>355</v>
      </c>
      <c r="D332" t="s">
        <v>38</v>
      </c>
      <c r="G332">
        <v>30</v>
      </c>
      <c r="H332" t="s">
        <v>39</v>
      </c>
      <c r="I332">
        <v>2734</v>
      </c>
      <c r="J332" t="s">
        <v>356</v>
      </c>
      <c r="K332" t="s">
        <v>38</v>
      </c>
      <c r="L332">
        <v>2734</v>
      </c>
      <c r="M332" t="s">
        <v>356</v>
      </c>
      <c r="N332" t="s">
        <v>38</v>
      </c>
      <c r="O332" t="str">
        <f t="shared" si="5"/>
        <v>sjl+/-;+/+==Tg(nkx2.2a:megfp)</v>
      </c>
    </row>
    <row r="333" spans="1:15" x14ac:dyDescent="0.3">
      <c r="A333">
        <v>4431</v>
      </c>
      <c r="B333">
        <v>43247</v>
      </c>
      <c r="D333" t="s">
        <v>173</v>
      </c>
      <c r="G333">
        <v>65</v>
      </c>
      <c r="H333" t="s">
        <v>172</v>
      </c>
      <c r="I333">
        <v>2364</v>
      </c>
      <c r="K333" t="s">
        <v>173</v>
      </c>
      <c r="L333">
        <v>2364</v>
      </c>
      <c r="N333" t="s">
        <v>173</v>
      </c>
      <c r="O333" t="str">
        <f t="shared" si="5"/>
        <v>Tg(mpeg1:GFP)</v>
      </c>
    </row>
    <row r="334" spans="1:15" x14ac:dyDescent="0.3">
      <c r="A334">
        <v>4432</v>
      </c>
      <c r="B334">
        <v>43247</v>
      </c>
      <c r="D334" t="s">
        <v>174</v>
      </c>
      <c r="G334">
        <v>30</v>
      </c>
      <c r="H334" t="s">
        <v>172</v>
      </c>
      <c r="I334">
        <v>2493</v>
      </c>
      <c r="K334" t="s">
        <v>174</v>
      </c>
      <c r="L334">
        <v>2493</v>
      </c>
      <c r="N334" t="s">
        <v>174</v>
      </c>
      <c r="O334" t="str">
        <f t="shared" si="5"/>
        <v>Tg(mpeg1:mCherry)</v>
      </c>
    </row>
    <row r="335" spans="1:15" x14ac:dyDescent="0.3">
      <c r="A335">
        <v>4433</v>
      </c>
      <c r="B335">
        <v>43247</v>
      </c>
      <c r="D335" t="s">
        <v>357</v>
      </c>
      <c r="G335">
        <v>33</v>
      </c>
      <c r="H335" t="s">
        <v>33</v>
      </c>
      <c r="I335">
        <v>3044</v>
      </c>
      <c r="J335" t="s">
        <v>85</v>
      </c>
      <c r="L335">
        <v>3044</v>
      </c>
      <c r="M335" t="s">
        <v>85</v>
      </c>
      <c r="O335" t="str">
        <f t="shared" si="5"/>
        <v>(bact:Phlare.2; cmlc2:GFP) inj</v>
      </c>
    </row>
    <row r="336" spans="1:15" x14ac:dyDescent="0.3">
      <c r="A336">
        <v>4434</v>
      </c>
      <c r="B336">
        <v>43252</v>
      </c>
      <c r="D336" t="s">
        <v>346</v>
      </c>
      <c r="G336">
        <v>30</v>
      </c>
      <c r="H336" t="s">
        <v>316</v>
      </c>
      <c r="O336" t="str">
        <f t="shared" si="5"/>
        <v>Tg(sox10:zFlp)</v>
      </c>
    </row>
    <row r="337" spans="1:15" x14ac:dyDescent="0.3">
      <c r="A337">
        <v>4435</v>
      </c>
      <c r="B337">
        <v>43252</v>
      </c>
      <c r="D337" t="s">
        <v>358</v>
      </c>
      <c r="G337">
        <v>30</v>
      </c>
      <c r="H337" t="s">
        <v>316</v>
      </c>
      <c r="O337" t="str">
        <f t="shared" si="5"/>
        <v>Tg(eab2:zFlp)</v>
      </c>
    </row>
    <row r="338" spans="1:15" x14ac:dyDescent="0.3">
      <c r="A338">
        <v>4436</v>
      </c>
      <c r="B338">
        <v>43252</v>
      </c>
      <c r="D338" t="s">
        <v>359</v>
      </c>
      <c r="G338">
        <v>30</v>
      </c>
      <c r="H338" t="s">
        <v>316</v>
      </c>
      <c r="O338" t="str">
        <f t="shared" si="5"/>
        <v>Ki(eab2:GG)</v>
      </c>
    </row>
    <row r="339" spans="1:15" x14ac:dyDescent="0.3">
      <c r="A339">
        <v>4437</v>
      </c>
      <c r="B339">
        <v>43252</v>
      </c>
      <c r="D339" t="s">
        <v>360</v>
      </c>
      <c r="G339">
        <v>25</v>
      </c>
      <c r="H339" t="s">
        <v>316</v>
      </c>
      <c r="O339" t="str">
        <f t="shared" si="5"/>
        <v>Ki(eab2:AA)</v>
      </c>
    </row>
    <row r="340" spans="1:15" x14ac:dyDescent="0.3">
      <c r="A340">
        <v>4438</v>
      </c>
      <c r="B340">
        <v>43250</v>
      </c>
      <c r="D340" t="s">
        <v>341</v>
      </c>
      <c r="G340">
        <v>30</v>
      </c>
      <c r="H340" t="s">
        <v>114</v>
      </c>
      <c r="J340" t="s">
        <v>342</v>
      </c>
      <c r="M340" t="s">
        <v>342</v>
      </c>
      <c r="O340" t="str">
        <f t="shared" si="5"/>
        <v>Tg[sox10:H2A-mcherry]</v>
      </c>
    </row>
    <row r="341" spans="1:15" x14ac:dyDescent="0.3">
      <c r="A341">
        <v>4439</v>
      </c>
      <c r="B341">
        <v>43248</v>
      </c>
      <c r="C341" t="s">
        <v>361</v>
      </c>
      <c r="D341" t="s">
        <v>362</v>
      </c>
      <c r="G341">
        <v>25</v>
      </c>
      <c r="H341" t="s">
        <v>50</v>
      </c>
      <c r="I341">
        <v>3081</v>
      </c>
      <c r="J341" t="s">
        <v>335</v>
      </c>
      <c r="L341">
        <v>3151</v>
      </c>
      <c r="M341" t="s">
        <v>363</v>
      </c>
      <c r="N341" t="s">
        <v>70</v>
      </c>
      <c r="O341" t="str">
        <f t="shared" si="5"/>
        <v>adora2aa+/-,+/+; adora2ab+/-,+/+ (-13bp)==tg(olig2:dsred2) UNSORTED</v>
      </c>
    </row>
    <row r="342" spans="1:15" x14ac:dyDescent="0.3">
      <c r="A342">
        <v>4440</v>
      </c>
      <c r="B342">
        <v>43249</v>
      </c>
      <c r="D342" t="s">
        <v>272</v>
      </c>
      <c r="G342">
        <v>60</v>
      </c>
      <c r="H342" t="s">
        <v>140</v>
      </c>
      <c r="I342">
        <v>3130</v>
      </c>
      <c r="K342" t="s">
        <v>272</v>
      </c>
      <c r="L342">
        <v>2911</v>
      </c>
      <c r="N342" t="s">
        <v>12</v>
      </c>
      <c r="O342" t="str">
        <f t="shared" si="5"/>
        <v>Tg(sox10:eos)</v>
      </c>
    </row>
    <row r="343" spans="1:15" x14ac:dyDescent="0.3">
      <c r="A343">
        <v>4441</v>
      </c>
      <c r="B343">
        <v>43255</v>
      </c>
      <c r="D343" t="s">
        <v>364</v>
      </c>
      <c r="G343">
        <v>30</v>
      </c>
      <c r="H343" t="s">
        <v>114</v>
      </c>
      <c r="I343">
        <v>3045</v>
      </c>
      <c r="J343" t="s">
        <v>85</v>
      </c>
      <c r="L343">
        <v>3045</v>
      </c>
      <c r="M343" t="s">
        <v>85</v>
      </c>
      <c r="O343" t="str">
        <f t="shared" si="5"/>
        <v>Tg(ndrg3a(5.2):TagRFP) F0</v>
      </c>
    </row>
    <row r="344" spans="1:15" x14ac:dyDescent="0.3">
      <c r="A344">
        <v>4442</v>
      </c>
      <c r="B344" t="s">
        <v>365</v>
      </c>
      <c r="C344" t="s">
        <v>366</v>
      </c>
      <c r="G344" t="s">
        <v>367</v>
      </c>
      <c r="H344" t="s">
        <v>50</v>
      </c>
      <c r="I344" t="s">
        <v>368</v>
      </c>
      <c r="J344" t="s">
        <v>369</v>
      </c>
      <c r="L344" t="s">
        <v>368</v>
      </c>
      <c r="M344" t="s">
        <v>369</v>
      </c>
      <c r="O344" t="str">
        <f t="shared" si="5"/>
        <v>krox20fh227  +/+;+/-;-/-(Monk lab, OHSU)</v>
      </c>
    </row>
    <row r="345" spans="1:15" x14ac:dyDescent="0.3">
      <c r="A345">
        <v>4443</v>
      </c>
      <c r="B345">
        <v>43259</v>
      </c>
      <c r="D345" t="s">
        <v>358</v>
      </c>
      <c r="G345">
        <v>40</v>
      </c>
      <c r="H345" t="s">
        <v>316</v>
      </c>
      <c r="O345" t="str">
        <f t="shared" si="5"/>
        <v>Tg(eab2:zFlp)</v>
      </c>
    </row>
    <row r="346" spans="1:15" x14ac:dyDescent="0.3">
      <c r="A346">
        <v>4444</v>
      </c>
      <c r="B346">
        <v>43259</v>
      </c>
      <c r="D346" t="s">
        <v>370</v>
      </c>
      <c r="G346">
        <v>2</v>
      </c>
      <c r="H346" t="s">
        <v>316</v>
      </c>
      <c r="O346" t="str">
        <f t="shared" si="5"/>
        <v>Tg(eab2:FRT-eGFP-FRT-mApple) F0</v>
      </c>
    </row>
    <row r="347" spans="1:15" x14ac:dyDescent="0.3">
      <c r="A347">
        <v>4445</v>
      </c>
      <c r="B347">
        <v>43259</v>
      </c>
      <c r="D347" t="s">
        <v>360</v>
      </c>
      <c r="G347">
        <v>60</v>
      </c>
      <c r="H347" t="s">
        <v>316</v>
      </c>
      <c r="O347" t="str">
        <f t="shared" si="5"/>
        <v>Ki(eab2:AA)</v>
      </c>
    </row>
    <row r="348" spans="1:15" x14ac:dyDescent="0.3">
      <c r="A348">
        <v>4446</v>
      </c>
      <c r="B348">
        <v>43259</v>
      </c>
      <c r="D348" t="s">
        <v>359</v>
      </c>
      <c r="G348">
        <v>1</v>
      </c>
      <c r="H348" t="s">
        <v>316</v>
      </c>
      <c r="O348" t="str">
        <f t="shared" si="5"/>
        <v>Ki(eab2:GG)</v>
      </c>
    </row>
    <row r="349" spans="1:15" x14ac:dyDescent="0.3">
      <c r="A349">
        <v>4447</v>
      </c>
      <c r="B349">
        <v>43255</v>
      </c>
      <c r="C349" t="s">
        <v>371</v>
      </c>
      <c r="G349">
        <v>30</v>
      </c>
      <c r="H349" t="s">
        <v>50</v>
      </c>
      <c r="I349">
        <v>2891</v>
      </c>
      <c r="J349" t="s">
        <v>85</v>
      </c>
      <c r="L349">
        <v>2891</v>
      </c>
      <c r="M349" t="s">
        <v>85</v>
      </c>
      <c r="O349" t="str">
        <f t="shared" si="5"/>
        <v>adora2c CRISPR f0</v>
      </c>
    </row>
    <row r="350" spans="1:15" x14ac:dyDescent="0.3">
      <c r="A350">
        <v>4448</v>
      </c>
      <c r="B350">
        <v>43261</v>
      </c>
      <c r="D350" t="s">
        <v>372</v>
      </c>
      <c r="G350">
        <v>50</v>
      </c>
      <c r="H350" t="s">
        <v>316</v>
      </c>
      <c r="O350" t="str">
        <f t="shared" si="5"/>
        <v>Ki(eab2:AG)</v>
      </c>
    </row>
    <row r="351" spans="1:15" x14ac:dyDescent="0.3">
      <c r="A351">
        <v>4449</v>
      </c>
      <c r="B351">
        <v>43261</v>
      </c>
      <c r="D351" t="s">
        <v>373</v>
      </c>
      <c r="G351">
        <v>60</v>
      </c>
      <c r="H351" t="s">
        <v>316</v>
      </c>
      <c r="O351" t="str">
        <f t="shared" si="5"/>
        <v>Ki(eab2:GA)</v>
      </c>
    </row>
    <row r="352" spans="1:15" x14ac:dyDescent="0.3">
      <c r="A352">
        <v>4450</v>
      </c>
      <c r="B352">
        <v>43257</v>
      </c>
      <c r="C352" t="s">
        <v>374</v>
      </c>
      <c r="D352" t="s">
        <v>70</v>
      </c>
      <c r="G352">
        <v>50</v>
      </c>
      <c r="H352" t="s">
        <v>50</v>
      </c>
      <c r="I352">
        <v>3122</v>
      </c>
      <c r="J352" t="s">
        <v>375</v>
      </c>
      <c r="L352">
        <v>3082</v>
      </c>
      <c r="M352" t="s">
        <v>335</v>
      </c>
      <c r="N352" t="s">
        <v>70</v>
      </c>
      <c r="O352" t="str">
        <f t="shared" si="5"/>
        <v>adora2aa+/-,+/+; adora2ab (-52bp)+/-,+/+==tg(olig2:dsred2)</v>
      </c>
    </row>
    <row r="353" spans="1:15" x14ac:dyDescent="0.3">
      <c r="A353">
        <v>4451</v>
      </c>
      <c r="B353">
        <v>43257</v>
      </c>
      <c r="C353" t="s">
        <v>374</v>
      </c>
      <c r="G353">
        <v>50</v>
      </c>
      <c r="H353" t="s">
        <v>50</v>
      </c>
      <c r="I353">
        <v>3122</v>
      </c>
      <c r="J353" t="s">
        <v>375</v>
      </c>
      <c r="L353">
        <v>3082</v>
      </c>
      <c r="M353" t="s">
        <v>335</v>
      </c>
      <c r="N353" t="s">
        <v>70</v>
      </c>
      <c r="O353" t="str">
        <f t="shared" si="5"/>
        <v>adora2aa+/-,+/+; adora2ab (-52bp)+/-,+/+</v>
      </c>
    </row>
    <row r="354" spans="1:15" x14ac:dyDescent="0.3">
      <c r="A354">
        <v>4452</v>
      </c>
      <c r="B354">
        <v>43257</v>
      </c>
      <c r="C354" t="s">
        <v>376</v>
      </c>
      <c r="D354" t="s">
        <v>70</v>
      </c>
      <c r="G354">
        <v>80</v>
      </c>
      <c r="H354" t="s">
        <v>50</v>
      </c>
      <c r="I354">
        <v>3122</v>
      </c>
      <c r="J354" t="s">
        <v>377</v>
      </c>
      <c r="L354">
        <v>3082</v>
      </c>
      <c r="M354" t="s">
        <v>335</v>
      </c>
      <c r="N354" t="s">
        <v>70</v>
      </c>
      <c r="O354" t="str">
        <f t="shared" si="5"/>
        <v>adora2aa+/-,+/+; adora2ab (+66bp)+/-,+/+==tg(olig2:dsred2)</v>
      </c>
    </row>
    <row r="355" spans="1:15" x14ac:dyDescent="0.3">
      <c r="A355">
        <v>4453</v>
      </c>
      <c r="B355">
        <v>43257</v>
      </c>
      <c r="C355" t="s">
        <v>376</v>
      </c>
      <c r="D355" t="s">
        <v>183</v>
      </c>
      <c r="G355">
        <v>20</v>
      </c>
      <c r="H355" t="s">
        <v>50</v>
      </c>
      <c r="I355">
        <v>3122</v>
      </c>
      <c r="J355" t="s">
        <v>377</v>
      </c>
      <c r="K355" t="s">
        <v>183</v>
      </c>
      <c r="L355">
        <v>3082</v>
      </c>
      <c r="M355" t="s">
        <v>335</v>
      </c>
      <c r="N355" t="s">
        <v>70</v>
      </c>
      <c r="O355" t="str">
        <f t="shared" si="5"/>
        <v>adora2aa+/-,+/+; adora2ab (+66bp)+/-,+/+==tg(olig2:egfp)</v>
      </c>
    </row>
    <row r="356" spans="1:15" x14ac:dyDescent="0.3">
      <c r="A356">
        <v>4454</v>
      </c>
      <c r="B356">
        <v>43257</v>
      </c>
      <c r="C356" t="s">
        <v>376</v>
      </c>
      <c r="G356">
        <v>90</v>
      </c>
      <c r="H356" t="s">
        <v>50</v>
      </c>
      <c r="I356">
        <v>3122</v>
      </c>
      <c r="J356" t="s">
        <v>377</v>
      </c>
      <c r="L356">
        <v>3082</v>
      </c>
      <c r="M356" t="s">
        <v>335</v>
      </c>
      <c r="N356" t="s">
        <v>70</v>
      </c>
      <c r="O356" t="str">
        <f t="shared" si="5"/>
        <v>adora2aa+/-,+/+; adora2ab (+66bp)+/-,+/+</v>
      </c>
    </row>
    <row r="357" spans="1:15" x14ac:dyDescent="0.3">
      <c r="A357">
        <v>4455</v>
      </c>
      <c r="B357">
        <v>43259</v>
      </c>
      <c r="C357" t="s">
        <v>371</v>
      </c>
      <c r="D357" t="s">
        <v>183</v>
      </c>
      <c r="G357">
        <v>30</v>
      </c>
      <c r="H357" t="s">
        <v>50</v>
      </c>
      <c r="I357">
        <v>3044</v>
      </c>
      <c r="J357" t="s">
        <v>12</v>
      </c>
      <c r="L357">
        <v>4179</v>
      </c>
      <c r="M357" t="s">
        <v>183</v>
      </c>
      <c r="O357" t="str">
        <f t="shared" si="5"/>
        <v>adora2c CRISPR f0==tg(olig2:egfp)</v>
      </c>
    </row>
    <row r="358" spans="1:15" x14ac:dyDescent="0.3">
      <c r="A358">
        <v>4456</v>
      </c>
      <c r="B358">
        <v>43259</v>
      </c>
      <c r="C358" t="s">
        <v>371</v>
      </c>
      <c r="G358">
        <v>60</v>
      </c>
      <c r="H358" t="s">
        <v>50</v>
      </c>
      <c r="I358">
        <v>3044</v>
      </c>
      <c r="J358" t="s">
        <v>12</v>
      </c>
      <c r="L358">
        <v>3044</v>
      </c>
      <c r="M358" t="s">
        <v>12</v>
      </c>
      <c r="O358" t="str">
        <f t="shared" si="5"/>
        <v>adora2c CRISPR f0</v>
      </c>
    </row>
    <row r="359" spans="1:15" x14ac:dyDescent="0.3">
      <c r="A359">
        <v>4457</v>
      </c>
      <c r="B359">
        <v>43258</v>
      </c>
      <c r="D359" t="s">
        <v>378</v>
      </c>
      <c r="G359">
        <v>27</v>
      </c>
      <c r="H359" t="s">
        <v>379</v>
      </c>
      <c r="I359">
        <v>2849</v>
      </c>
      <c r="K359" t="s">
        <v>378</v>
      </c>
      <c r="L359">
        <v>2849</v>
      </c>
      <c r="N359" t="s">
        <v>378</v>
      </c>
      <c r="O359" t="str">
        <f t="shared" si="5"/>
        <v>Tg(sox10:gal4);(cmlc2:GFP)</v>
      </c>
    </row>
    <row r="360" spans="1:15" x14ac:dyDescent="0.3">
      <c r="A360">
        <v>4458</v>
      </c>
      <c r="B360">
        <v>43258</v>
      </c>
      <c r="D360" t="s">
        <v>378</v>
      </c>
      <c r="G360">
        <v>60</v>
      </c>
      <c r="H360" t="s">
        <v>379</v>
      </c>
      <c r="I360">
        <v>2850</v>
      </c>
      <c r="K360" t="s">
        <v>378</v>
      </c>
      <c r="L360">
        <v>2850</v>
      </c>
      <c r="N360" t="s">
        <v>378</v>
      </c>
      <c r="O360" t="str">
        <f t="shared" si="5"/>
        <v>Tg(sox10:gal4);(cmlc2:GFP)</v>
      </c>
    </row>
    <row r="361" spans="1:15" x14ac:dyDescent="0.3">
      <c r="A361">
        <v>4459</v>
      </c>
      <c r="B361" t="s">
        <v>380</v>
      </c>
      <c r="D361" t="s">
        <v>378</v>
      </c>
      <c r="E361" t="s">
        <v>95</v>
      </c>
      <c r="G361">
        <v>50</v>
      </c>
      <c r="H361" t="s">
        <v>379</v>
      </c>
      <c r="I361">
        <v>2855</v>
      </c>
      <c r="K361" t="s">
        <v>381</v>
      </c>
      <c r="L361">
        <v>2855</v>
      </c>
      <c r="N361" t="s">
        <v>381</v>
      </c>
      <c r="O361" t="str">
        <f t="shared" si="5"/>
        <v>Tg(sox10:gal4);(cmlc2:GFP)==Tg(UAS:mCherry)</v>
      </c>
    </row>
    <row r="362" spans="1:15" x14ac:dyDescent="0.3">
      <c r="A362">
        <v>4460</v>
      </c>
      <c r="B362">
        <v>43258</v>
      </c>
      <c r="C362" t="s">
        <v>12</v>
      </c>
      <c r="G362">
        <v>60</v>
      </c>
      <c r="H362" t="s">
        <v>379</v>
      </c>
      <c r="I362">
        <v>2946</v>
      </c>
      <c r="J362" t="s">
        <v>12</v>
      </c>
      <c r="L362">
        <v>2946</v>
      </c>
      <c r="M362" t="s">
        <v>12</v>
      </c>
      <c r="O362" t="str">
        <f t="shared" si="5"/>
        <v>AB*</v>
      </c>
    </row>
    <row r="363" spans="1:15" x14ac:dyDescent="0.3">
      <c r="A363">
        <v>4461</v>
      </c>
      <c r="B363">
        <v>43260</v>
      </c>
      <c r="D363" t="s">
        <v>173</v>
      </c>
      <c r="G363">
        <v>40</v>
      </c>
      <c r="H363" t="s">
        <v>172</v>
      </c>
      <c r="I363">
        <v>2364</v>
      </c>
      <c r="K363" t="s">
        <v>173</v>
      </c>
      <c r="L363">
        <v>2395</v>
      </c>
      <c r="M363" t="s">
        <v>12</v>
      </c>
      <c r="O363" t="str">
        <f t="shared" si="5"/>
        <v>Tg(mpeg1:GFP)</v>
      </c>
    </row>
    <row r="364" spans="1:15" x14ac:dyDescent="0.3">
      <c r="A364">
        <v>4462</v>
      </c>
      <c r="B364">
        <v>43266</v>
      </c>
      <c r="C364" t="s">
        <v>382</v>
      </c>
      <c r="G364">
        <v>50</v>
      </c>
      <c r="H364" t="s">
        <v>316</v>
      </c>
      <c r="I364">
        <v>3020</v>
      </c>
      <c r="J364" t="s">
        <v>382</v>
      </c>
      <c r="L364">
        <v>3002</v>
      </c>
      <c r="M364" t="s">
        <v>382</v>
      </c>
      <c r="O364" t="str">
        <f t="shared" si="5"/>
        <v>nf1a+/-;nf1b+/-</v>
      </c>
    </row>
    <row r="365" spans="1:15" x14ac:dyDescent="0.3">
      <c r="A365">
        <v>4463</v>
      </c>
      <c r="B365">
        <v>43266</v>
      </c>
      <c r="D365" t="s">
        <v>383</v>
      </c>
      <c r="G365">
        <v>210</v>
      </c>
      <c r="H365" t="s">
        <v>316</v>
      </c>
      <c r="O365" t="str">
        <f t="shared" si="5"/>
        <v>Tg(eab2:FRT-eGFP-FRT-mApple)</v>
      </c>
    </row>
    <row r="366" spans="1:15" x14ac:dyDescent="0.3">
      <c r="A366">
        <v>4464</v>
      </c>
      <c r="B366">
        <v>43266</v>
      </c>
      <c r="D366" t="s">
        <v>372</v>
      </c>
      <c r="G366">
        <v>210</v>
      </c>
      <c r="H366" t="s">
        <v>316</v>
      </c>
      <c r="O366" t="str">
        <f t="shared" si="5"/>
        <v>Ki(eab2:AG)</v>
      </c>
    </row>
    <row r="367" spans="1:15" x14ac:dyDescent="0.3">
      <c r="A367">
        <v>4465</v>
      </c>
      <c r="B367">
        <v>43266</v>
      </c>
      <c r="D367" t="s">
        <v>373</v>
      </c>
      <c r="G367">
        <v>180</v>
      </c>
      <c r="H367" t="s">
        <v>316</v>
      </c>
      <c r="O367" t="str">
        <f t="shared" si="5"/>
        <v>Ki(eab2:GA)</v>
      </c>
    </row>
    <row r="368" spans="1:15" x14ac:dyDescent="0.3">
      <c r="A368">
        <v>4466</v>
      </c>
      <c r="B368">
        <v>43263</v>
      </c>
      <c r="D368" t="s">
        <v>384</v>
      </c>
      <c r="G368">
        <v>40</v>
      </c>
      <c r="H368" t="s">
        <v>50</v>
      </c>
      <c r="I368">
        <v>2891</v>
      </c>
      <c r="J368" t="s">
        <v>12</v>
      </c>
      <c r="L368">
        <v>2891</v>
      </c>
      <c r="M368" t="s">
        <v>12</v>
      </c>
      <c r="O368" t="str">
        <f t="shared" si="5"/>
        <v>neuroD:GcAMP3 f0</v>
      </c>
    </row>
    <row r="369" spans="1:15" x14ac:dyDescent="0.3">
      <c r="A369">
        <v>4467</v>
      </c>
      <c r="B369">
        <v>43264</v>
      </c>
      <c r="D369" t="s">
        <v>385</v>
      </c>
      <c r="G369">
        <v>30</v>
      </c>
      <c r="H369" t="s">
        <v>137</v>
      </c>
      <c r="I369">
        <v>3045</v>
      </c>
      <c r="J369" t="s">
        <v>12</v>
      </c>
      <c r="L369">
        <v>2899</v>
      </c>
      <c r="N369" t="s">
        <v>385</v>
      </c>
      <c r="O369" t="str">
        <f t="shared" si="5"/>
        <v>Tg(sox10:mRFP)</v>
      </c>
    </row>
    <row r="370" spans="1:15" x14ac:dyDescent="0.3">
      <c r="A370">
        <v>4468</v>
      </c>
      <c r="B370">
        <v>43264</v>
      </c>
      <c r="D370" t="s">
        <v>386</v>
      </c>
      <c r="E370" t="s">
        <v>387</v>
      </c>
      <c r="G370">
        <v>2</v>
      </c>
      <c r="H370" t="s">
        <v>114</v>
      </c>
      <c r="I370">
        <v>3045</v>
      </c>
      <c r="J370" t="s">
        <v>12</v>
      </c>
      <c r="L370">
        <v>2321</v>
      </c>
      <c r="N370" t="s">
        <v>388</v>
      </c>
      <c r="O370" t="str">
        <f t="shared" si="5"/>
        <v>Tg(SAGFF(LF)73A)==UAS:GFP</v>
      </c>
    </row>
    <row r="371" spans="1:15" x14ac:dyDescent="0.3">
      <c r="A371">
        <v>4469</v>
      </c>
      <c r="B371">
        <v>43264</v>
      </c>
      <c r="C371" t="s">
        <v>213</v>
      </c>
      <c r="D371" t="s">
        <v>385</v>
      </c>
      <c r="G371">
        <v>20</v>
      </c>
      <c r="H371" t="s">
        <v>114</v>
      </c>
      <c r="I371">
        <v>2899</v>
      </c>
      <c r="K371" t="s">
        <v>385</v>
      </c>
      <c r="L371">
        <v>2376</v>
      </c>
      <c r="O371" t="str">
        <f t="shared" si="5"/>
        <v>ftl+/+;+/-==Tg(sox10:mRFP)</v>
      </c>
    </row>
    <row r="372" spans="1:15" x14ac:dyDescent="0.3">
      <c r="A372">
        <v>4470</v>
      </c>
      <c r="B372">
        <v>43270</v>
      </c>
      <c r="D372" t="s">
        <v>72</v>
      </c>
      <c r="E372" t="s">
        <v>73</v>
      </c>
      <c r="G372">
        <v>25</v>
      </c>
      <c r="H372" t="s">
        <v>50</v>
      </c>
      <c r="I372">
        <v>4058</v>
      </c>
      <c r="K372" t="s">
        <v>389</v>
      </c>
      <c r="L372">
        <v>2891</v>
      </c>
      <c r="M372" t="s">
        <v>12</v>
      </c>
      <c r="O372" t="str">
        <f t="shared" si="5"/>
        <v>tg(sox10:gal4);(cmlc2:GFP)==tg(UAS:mcherry)</v>
      </c>
    </row>
    <row r="373" spans="1:15" x14ac:dyDescent="0.3">
      <c r="A373">
        <v>4471</v>
      </c>
      <c r="B373">
        <v>43270</v>
      </c>
      <c r="D373" t="s">
        <v>162</v>
      </c>
      <c r="G373">
        <v>55</v>
      </c>
      <c r="H373" t="s">
        <v>140</v>
      </c>
      <c r="I373">
        <v>2995</v>
      </c>
      <c r="J373" t="s">
        <v>12</v>
      </c>
      <c r="L373">
        <v>2730</v>
      </c>
      <c r="N373" t="s">
        <v>162</v>
      </c>
      <c r="O373" t="str">
        <f t="shared" si="5"/>
        <v>tg(sox10:mrfp)</v>
      </c>
    </row>
    <row r="374" spans="1:15" x14ac:dyDescent="0.3">
      <c r="A374">
        <v>4472</v>
      </c>
      <c r="B374">
        <v>43215</v>
      </c>
      <c r="C374" t="s">
        <v>12</v>
      </c>
      <c r="G374">
        <v>50</v>
      </c>
      <c r="H374" t="s">
        <v>39</v>
      </c>
      <c r="I374">
        <v>2904</v>
      </c>
      <c r="J374" t="s">
        <v>12</v>
      </c>
      <c r="L374">
        <v>2904</v>
      </c>
      <c r="M374" t="s">
        <v>12</v>
      </c>
      <c r="O374" t="str">
        <f t="shared" si="5"/>
        <v>AB*</v>
      </c>
    </row>
    <row r="375" spans="1:15" x14ac:dyDescent="0.3">
      <c r="A375">
        <v>4473</v>
      </c>
      <c r="B375">
        <v>43215</v>
      </c>
      <c r="C375" t="s">
        <v>12</v>
      </c>
      <c r="G375">
        <v>50</v>
      </c>
      <c r="H375" t="s">
        <v>39</v>
      </c>
      <c r="I375">
        <v>2985</v>
      </c>
      <c r="J375" t="s">
        <v>12</v>
      </c>
      <c r="L375">
        <v>2985</v>
      </c>
      <c r="M375" t="s">
        <v>12</v>
      </c>
      <c r="O375" t="str">
        <f t="shared" si="5"/>
        <v>AB*</v>
      </c>
    </row>
    <row r="376" spans="1:15" x14ac:dyDescent="0.3">
      <c r="A376">
        <v>4474</v>
      </c>
      <c r="B376">
        <v>43215</v>
      </c>
      <c r="D376" t="s">
        <v>390</v>
      </c>
      <c r="G376">
        <v>55</v>
      </c>
      <c r="H376" t="s">
        <v>108</v>
      </c>
      <c r="I376">
        <v>2903</v>
      </c>
      <c r="J376" t="s">
        <v>12</v>
      </c>
      <c r="L376">
        <v>2444</v>
      </c>
      <c r="N376" t="s">
        <v>391</v>
      </c>
      <c r="O376" t="str">
        <f t="shared" si="5"/>
        <v>tg(nkx2.2a:MEGFP)</v>
      </c>
    </row>
    <row r="377" spans="1:15" x14ac:dyDescent="0.3">
      <c r="A377">
        <v>4475</v>
      </c>
      <c r="B377">
        <v>43215</v>
      </c>
      <c r="D377" t="s">
        <v>164</v>
      </c>
      <c r="G377">
        <v>50</v>
      </c>
      <c r="H377" t="s">
        <v>108</v>
      </c>
      <c r="I377">
        <v>2531</v>
      </c>
      <c r="K377" t="s">
        <v>164</v>
      </c>
      <c r="L377">
        <v>2903</v>
      </c>
      <c r="M377" t="s">
        <v>12</v>
      </c>
      <c r="O377" t="str">
        <f t="shared" si="5"/>
        <v>tg(ctgfa:egfp)</v>
      </c>
    </row>
    <row r="378" spans="1:15" x14ac:dyDescent="0.3">
      <c r="A378">
        <v>4476</v>
      </c>
      <c r="B378">
        <v>43215</v>
      </c>
      <c r="D378" t="s">
        <v>207</v>
      </c>
      <c r="G378">
        <v>14</v>
      </c>
      <c r="H378" t="s">
        <v>108</v>
      </c>
      <c r="I378">
        <v>2892</v>
      </c>
      <c r="J378" t="s">
        <v>12</v>
      </c>
      <c r="L378">
        <v>2869</v>
      </c>
      <c r="N378" t="s">
        <v>392</v>
      </c>
      <c r="O378" t="str">
        <f t="shared" si="5"/>
        <v>tg(olig2:dsred)</v>
      </c>
    </row>
    <row r="379" spans="1:15" x14ac:dyDescent="0.3">
      <c r="A379">
        <v>4477</v>
      </c>
      <c r="B379">
        <v>43215</v>
      </c>
      <c r="D379" t="s">
        <v>390</v>
      </c>
      <c r="G379">
        <v>35</v>
      </c>
      <c r="H379" t="s">
        <v>108</v>
      </c>
      <c r="I379">
        <v>2903</v>
      </c>
      <c r="J379" t="s">
        <v>12</v>
      </c>
      <c r="L379">
        <v>2444</v>
      </c>
      <c r="N379" t="s">
        <v>391</v>
      </c>
      <c r="O379" t="str">
        <f t="shared" si="5"/>
        <v>tg(nkx2.2a:MEGFP)</v>
      </c>
    </row>
    <row r="380" spans="1:15" x14ac:dyDescent="0.3">
      <c r="A380">
        <v>4478</v>
      </c>
      <c r="B380">
        <v>43215</v>
      </c>
      <c r="D380" t="s">
        <v>201</v>
      </c>
      <c r="G380">
        <v>34</v>
      </c>
      <c r="H380" t="s">
        <v>393</v>
      </c>
      <c r="I380">
        <v>2691</v>
      </c>
      <c r="K380" t="s">
        <v>394</v>
      </c>
      <c r="L380">
        <v>2891</v>
      </c>
      <c r="M380" t="s">
        <v>12</v>
      </c>
      <c r="O380" t="str">
        <f t="shared" si="5"/>
        <v>tg(mnx1:mcerulean3)</v>
      </c>
    </row>
    <row r="381" spans="1:15" x14ac:dyDescent="0.3">
      <c r="A381">
        <v>4479</v>
      </c>
      <c r="B381">
        <v>43215</v>
      </c>
      <c r="D381" t="s">
        <v>390</v>
      </c>
      <c r="E381" t="s">
        <v>207</v>
      </c>
      <c r="G381">
        <v>8</v>
      </c>
      <c r="H381" t="s">
        <v>108</v>
      </c>
      <c r="I381">
        <v>2903</v>
      </c>
      <c r="J381" t="s">
        <v>12</v>
      </c>
      <c r="L381">
        <v>3033</v>
      </c>
      <c r="N381" t="s">
        <v>395</v>
      </c>
      <c r="O381" t="str">
        <f t="shared" si="5"/>
        <v>tg(nkx2.2a:MEGFP)==tg(olig2:dsred)</v>
      </c>
    </row>
    <row r="382" spans="1:15" x14ac:dyDescent="0.3">
      <c r="A382">
        <v>4480</v>
      </c>
      <c r="B382">
        <v>43215</v>
      </c>
      <c r="D382" t="s">
        <v>201</v>
      </c>
      <c r="G382">
        <v>50</v>
      </c>
      <c r="H382" t="s">
        <v>108</v>
      </c>
      <c r="I382">
        <v>2391</v>
      </c>
      <c r="K382" t="s">
        <v>394</v>
      </c>
      <c r="L382">
        <v>2903</v>
      </c>
      <c r="M382" t="s">
        <v>12</v>
      </c>
      <c r="O382" t="str">
        <f t="shared" si="5"/>
        <v>tg(mnx1:mcerulean3)</v>
      </c>
    </row>
    <row r="383" spans="1:15" x14ac:dyDescent="0.3">
      <c r="A383">
        <v>4481</v>
      </c>
      <c r="B383">
        <v>43215</v>
      </c>
      <c r="D383" t="s">
        <v>390</v>
      </c>
      <c r="E383" t="s">
        <v>162</v>
      </c>
      <c r="G383">
        <v>10</v>
      </c>
      <c r="H383" t="s">
        <v>108</v>
      </c>
      <c r="I383">
        <v>2074</v>
      </c>
      <c r="K383" t="s">
        <v>396</v>
      </c>
      <c r="L383">
        <v>2903</v>
      </c>
      <c r="O383" t="str">
        <f t="shared" si="5"/>
        <v>tg(nkx2.2a:MEGFP)==tg(sox10:mrfp)</v>
      </c>
    </row>
    <row r="384" spans="1:15" x14ac:dyDescent="0.3">
      <c r="A384">
        <v>4482</v>
      </c>
      <c r="B384">
        <v>43215</v>
      </c>
      <c r="D384" t="s">
        <v>157</v>
      </c>
      <c r="G384">
        <v>80</v>
      </c>
      <c r="H384" t="s">
        <v>314</v>
      </c>
      <c r="I384">
        <v>2126</v>
      </c>
      <c r="K384" t="s">
        <v>157</v>
      </c>
      <c r="L384">
        <v>2911</v>
      </c>
      <c r="M384" t="s">
        <v>85</v>
      </c>
      <c r="O384" t="str">
        <f t="shared" si="5"/>
        <v>Tg[sox10:nls-eos]</v>
      </c>
    </row>
    <row r="385" spans="1:15" x14ac:dyDescent="0.3">
      <c r="A385">
        <v>4483</v>
      </c>
      <c r="B385">
        <v>43215</v>
      </c>
      <c r="D385" t="s">
        <v>157</v>
      </c>
      <c r="G385">
        <v>49</v>
      </c>
      <c r="H385" t="s">
        <v>314</v>
      </c>
      <c r="I385">
        <v>2126</v>
      </c>
      <c r="K385" t="s">
        <v>157</v>
      </c>
      <c r="L385">
        <v>2911</v>
      </c>
      <c r="M385" t="s">
        <v>85</v>
      </c>
      <c r="O385" t="str">
        <f t="shared" si="5"/>
        <v>Tg[sox10:nls-eos]</v>
      </c>
    </row>
    <row r="386" spans="1:15" x14ac:dyDescent="0.3">
      <c r="A386">
        <v>4484</v>
      </c>
      <c r="B386">
        <v>43215</v>
      </c>
      <c r="D386" t="s">
        <v>397</v>
      </c>
      <c r="G386">
        <v>12</v>
      </c>
      <c r="H386" t="s">
        <v>140</v>
      </c>
      <c r="I386">
        <v>2911</v>
      </c>
      <c r="J386" t="s">
        <v>85</v>
      </c>
      <c r="L386">
        <v>2907</v>
      </c>
      <c r="N386" t="s">
        <v>139</v>
      </c>
      <c r="O386" t="str">
        <f t="shared" si="5"/>
        <v>Tg[olig2:egfp]</v>
      </c>
    </row>
    <row r="387" spans="1:15" x14ac:dyDescent="0.3">
      <c r="A387">
        <v>4485</v>
      </c>
      <c r="B387">
        <v>43215</v>
      </c>
      <c r="C387" t="s">
        <v>398</v>
      </c>
      <c r="D387" t="s">
        <v>148</v>
      </c>
      <c r="G387">
        <v>19</v>
      </c>
      <c r="H387" t="s">
        <v>140</v>
      </c>
      <c r="I387">
        <v>2211</v>
      </c>
      <c r="J387" t="s">
        <v>399</v>
      </c>
      <c r="K387" t="s">
        <v>148</v>
      </c>
      <c r="L387">
        <v>2211</v>
      </c>
      <c r="M387" t="s">
        <v>399</v>
      </c>
      <c r="N387" t="s">
        <v>148</v>
      </c>
      <c r="O387" t="str">
        <f t="shared" ref="O387:O450" si="6">TEXTJOIN("==",TRUE,C387:F387)</f>
        <v>nf1a+/-,+/+; nf1b-/-==Tg[sox10:megfp]</v>
      </c>
    </row>
    <row r="388" spans="1:15" x14ac:dyDescent="0.3">
      <c r="A388">
        <v>4486</v>
      </c>
      <c r="B388">
        <v>43215</v>
      </c>
      <c r="C388" t="s">
        <v>398</v>
      </c>
      <c r="D388" t="s">
        <v>148</v>
      </c>
      <c r="G388">
        <v>19</v>
      </c>
      <c r="H388" t="s">
        <v>140</v>
      </c>
      <c r="I388">
        <v>2211</v>
      </c>
      <c r="J388" t="s">
        <v>399</v>
      </c>
      <c r="K388" t="s">
        <v>148</v>
      </c>
      <c r="L388">
        <v>2211</v>
      </c>
      <c r="M388" t="s">
        <v>399</v>
      </c>
      <c r="N388" t="s">
        <v>148</v>
      </c>
      <c r="O388" t="str">
        <f t="shared" si="6"/>
        <v>nf1a+/-,+/+; nf1b-/-==Tg[sox10:megfp]</v>
      </c>
    </row>
    <row r="389" spans="1:15" x14ac:dyDescent="0.3">
      <c r="A389">
        <v>4487</v>
      </c>
      <c r="B389">
        <v>43215</v>
      </c>
      <c r="D389" t="s">
        <v>157</v>
      </c>
      <c r="G389">
        <v>30</v>
      </c>
      <c r="H389" t="s">
        <v>140</v>
      </c>
      <c r="I389">
        <v>2911</v>
      </c>
      <c r="J389" t="s">
        <v>85</v>
      </c>
      <c r="L389">
        <v>2922</v>
      </c>
      <c r="N389" t="s">
        <v>157</v>
      </c>
      <c r="O389" t="str">
        <f t="shared" si="6"/>
        <v>Tg[sox10:nls-eos]</v>
      </c>
    </row>
    <row r="390" spans="1:15" x14ac:dyDescent="0.3">
      <c r="A390">
        <v>4488</v>
      </c>
      <c r="B390">
        <v>43215</v>
      </c>
      <c r="C390" t="s">
        <v>52</v>
      </c>
      <c r="G390">
        <v>74</v>
      </c>
      <c r="H390" t="s">
        <v>140</v>
      </c>
      <c r="I390" t="s">
        <v>83</v>
      </c>
      <c r="J390" t="s">
        <v>52</v>
      </c>
      <c r="L390" t="s">
        <v>83</v>
      </c>
      <c r="M390" t="s">
        <v>52</v>
      </c>
      <c r="O390" t="str">
        <f t="shared" si="6"/>
        <v>Casper</v>
      </c>
    </row>
    <row r="391" spans="1:15" x14ac:dyDescent="0.3">
      <c r="A391">
        <v>4489</v>
      </c>
      <c r="B391">
        <v>43215</v>
      </c>
      <c r="D391" t="s">
        <v>148</v>
      </c>
      <c r="G391">
        <v>87</v>
      </c>
      <c r="H391" t="s">
        <v>165</v>
      </c>
      <c r="I391">
        <v>2681</v>
      </c>
      <c r="K391" t="s">
        <v>148</v>
      </c>
      <c r="L391">
        <v>2912</v>
      </c>
      <c r="M391" t="s">
        <v>85</v>
      </c>
      <c r="O391" t="str">
        <f t="shared" si="6"/>
        <v>Tg[sox10:megfp]</v>
      </c>
    </row>
    <row r="392" spans="1:15" x14ac:dyDescent="0.3">
      <c r="A392">
        <v>4490</v>
      </c>
      <c r="B392">
        <v>43215</v>
      </c>
      <c r="D392" t="s">
        <v>148</v>
      </c>
      <c r="G392">
        <v>68</v>
      </c>
      <c r="H392" t="s">
        <v>165</v>
      </c>
      <c r="I392">
        <v>2681</v>
      </c>
      <c r="K392" t="s">
        <v>148</v>
      </c>
      <c r="L392">
        <v>2912</v>
      </c>
      <c r="M392" t="s">
        <v>85</v>
      </c>
      <c r="O392" t="str">
        <f t="shared" si="6"/>
        <v>Tg[sox10:megfp]</v>
      </c>
    </row>
    <row r="393" spans="1:15" x14ac:dyDescent="0.3">
      <c r="A393">
        <v>4491</v>
      </c>
      <c r="B393">
        <v>43272</v>
      </c>
      <c r="D393" t="s">
        <v>378</v>
      </c>
      <c r="G393">
        <v>20</v>
      </c>
      <c r="H393" t="s">
        <v>379</v>
      </c>
      <c r="I393">
        <v>2849</v>
      </c>
      <c r="K393" t="s">
        <v>378</v>
      </c>
      <c r="L393">
        <v>2849</v>
      </c>
      <c r="N393" t="s">
        <v>378</v>
      </c>
      <c r="O393" t="str">
        <f t="shared" si="6"/>
        <v>Tg(sox10:gal4);(cmlc2:GFP)</v>
      </c>
    </row>
    <row r="394" spans="1:15" x14ac:dyDescent="0.3">
      <c r="A394">
        <v>4492</v>
      </c>
      <c r="B394">
        <v>43276</v>
      </c>
      <c r="C394" t="s">
        <v>400</v>
      </c>
      <c r="G394">
        <v>100</v>
      </c>
      <c r="H394" t="s">
        <v>50</v>
      </c>
      <c r="I394" t="s">
        <v>401</v>
      </c>
      <c r="L394" t="s">
        <v>401</v>
      </c>
      <c r="M394" t="s">
        <v>319</v>
      </c>
      <c r="O394" t="str">
        <f t="shared" si="6"/>
        <v>krox20 fh227 +/-; +/+</v>
      </c>
    </row>
    <row r="395" spans="1:15" x14ac:dyDescent="0.3">
      <c r="A395">
        <v>4493</v>
      </c>
      <c r="B395">
        <v>43276</v>
      </c>
      <c r="C395" t="s">
        <v>400</v>
      </c>
      <c r="G395">
        <v>100</v>
      </c>
      <c r="H395" t="s">
        <v>50</v>
      </c>
      <c r="I395" t="s">
        <v>401</v>
      </c>
      <c r="L395" t="s">
        <v>401</v>
      </c>
      <c r="M395" t="s">
        <v>319</v>
      </c>
      <c r="O395" t="str">
        <f t="shared" si="6"/>
        <v>krox20 fh227 +/-; +/+</v>
      </c>
    </row>
    <row r="396" spans="1:15" x14ac:dyDescent="0.3">
      <c r="A396">
        <v>4494</v>
      </c>
      <c r="B396">
        <v>43277</v>
      </c>
      <c r="D396" t="s">
        <v>402</v>
      </c>
      <c r="E396" t="s">
        <v>403</v>
      </c>
      <c r="G396">
        <v>75</v>
      </c>
      <c r="H396" t="s">
        <v>39</v>
      </c>
      <c r="I396" t="s">
        <v>404</v>
      </c>
      <c r="K396" t="s">
        <v>402</v>
      </c>
      <c r="L396" t="s">
        <v>404</v>
      </c>
      <c r="N396" t="s">
        <v>403</v>
      </c>
      <c r="O396" t="str">
        <f t="shared" si="6"/>
        <v>tg(sox10:gal4VP16)==tg(uas:mcherry-NTR)</v>
      </c>
    </row>
    <row r="397" spans="1:15" x14ac:dyDescent="0.3">
      <c r="A397">
        <v>4495</v>
      </c>
      <c r="B397">
        <v>43278</v>
      </c>
      <c r="D397" t="s">
        <v>405</v>
      </c>
      <c r="G397">
        <v>75</v>
      </c>
      <c r="H397" t="s">
        <v>379</v>
      </c>
      <c r="I397" t="s">
        <v>406</v>
      </c>
      <c r="K397" t="s">
        <v>405</v>
      </c>
      <c r="L397" t="s">
        <v>406</v>
      </c>
      <c r="N397" t="s">
        <v>405</v>
      </c>
      <c r="O397" t="str">
        <f t="shared" si="6"/>
        <v>Tg(elav:GCaMP6s)</v>
      </c>
    </row>
    <row r="398" spans="1:15" x14ac:dyDescent="0.3">
      <c r="A398">
        <v>4496</v>
      </c>
      <c r="B398">
        <v>43280</v>
      </c>
      <c r="D398" t="s">
        <v>407</v>
      </c>
      <c r="G398">
        <v>40</v>
      </c>
      <c r="H398" t="s">
        <v>316</v>
      </c>
      <c r="O398" t="str">
        <f t="shared" si="6"/>
        <v>Tg(zubi:zFlp)</v>
      </c>
    </row>
    <row r="399" spans="1:15" x14ac:dyDescent="0.3">
      <c r="A399">
        <v>4497</v>
      </c>
      <c r="B399">
        <v>43277</v>
      </c>
      <c r="D399" t="s">
        <v>408</v>
      </c>
      <c r="G399">
        <v>22</v>
      </c>
      <c r="H399" t="s">
        <v>33</v>
      </c>
      <c r="I399">
        <v>2531</v>
      </c>
      <c r="K399" t="s">
        <v>408</v>
      </c>
      <c r="L399">
        <v>2752</v>
      </c>
      <c r="N399" t="s">
        <v>87</v>
      </c>
      <c r="O399" t="str">
        <f t="shared" si="6"/>
        <v>Tg(olig2:DsRED)</v>
      </c>
    </row>
    <row r="400" spans="1:15" x14ac:dyDescent="0.3">
      <c r="A400">
        <v>4498</v>
      </c>
      <c r="B400">
        <v>43277</v>
      </c>
      <c r="D400" t="s">
        <v>87</v>
      </c>
      <c r="G400">
        <v>35</v>
      </c>
      <c r="H400" t="s">
        <v>33</v>
      </c>
      <c r="I400">
        <v>2531</v>
      </c>
      <c r="K400" t="s">
        <v>408</v>
      </c>
      <c r="L400" t="s">
        <v>409</v>
      </c>
      <c r="N400" t="s">
        <v>87</v>
      </c>
      <c r="O400" t="str">
        <f t="shared" si="6"/>
        <v>Tg(sox10:EOS)</v>
      </c>
    </row>
    <row r="401" spans="1:15" x14ac:dyDescent="0.3">
      <c r="A401">
        <v>4499</v>
      </c>
      <c r="B401">
        <v>43277</v>
      </c>
      <c r="D401" t="s">
        <v>87</v>
      </c>
      <c r="E401" t="s">
        <v>410</v>
      </c>
      <c r="G401">
        <v>20</v>
      </c>
      <c r="H401" t="s">
        <v>33</v>
      </c>
      <c r="I401">
        <v>2531</v>
      </c>
      <c r="K401" t="s">
        <v>408</v>
      </c>
      <c r="L401" t="s">
        <v>409</v>
      </c>
      <c r="N401" t="s">
        <v>87</v>
      </c>
      <c r="O401" t="str">
        <f t="shared" si="6"/>
        <v>Tg(sox10:EOS)==Tg(olig2:dsRED)</v>
      </c>
    </row>
    <row r="402" spans="1:15" x14ac:dyDescent="0.3">
      <c r="A402">
        <v>4500</v>
      </c>
      <c r="B402">
        <v>43278</v>
      </c>
      <c r="C402" t="s">
        <v>213</v>
      </c>
      <c r="D402" t="s">
        <v>411</v>
      </c>
      <c r="G402">
        <v>25</v>
      </c>
      <c r="H402" t="s">
        <v>114</v>
      </c>
      <c r="I402">
        <v>2376</v>
      </c>
      <c r="J402" t="s">
        <v>214</v>
      </c>
      <c r="L402">
        <v>4252</v>
      </c>
      <c r="O402" t="str">
        <f t="shared" si="6"/>
        <v>ftl+/+;+/-==Tg(GFAP:EGFP)</v>
      </c>
    </row>
    <row r="403" spans="1:15" x14ac:dyDescent="0.3">
      <c r="A403">
        <v>4501</v>
      </c>
      <c r="B403">
        <v>43279</v>
      </c>
      <c r="D403" t="s">
        <v>297</v>
      </c>
      <c r="E403" t="s">
        <v>412</v>
      </c>
      <c r="G403">
        <v>22</v>
      </c>
      <c r="H403" t="s">
        <v>33</v>
      </c>
      <c r="I403">
        <v>4217</v>
      </c>
      <c r="K403" t="s">
        <v>413</v>
      </c>
      <c r="L403">
        <v>4276</v>
      </c>
      <c r="N403" t="s">
        <v>297</v>
      </c>
      <c r="O403" t="str">
        <f t="shared" si="6"/>
        <v>Tg(sox10:TagRFP)==Tg(sox10:Gal4)(cmlc2:GFP)</v>
      </c>
    </row>
    <row r="404" spans="1:15" x14ac:dyDescent="0.3">
      <c r="A404">
        <v>4502</v>
      </c>
      <c r="B404">
        <v>43279</v>
      </c>
      <c r="D404" t="s">
        <v>297</v>
      </c>
      <c r="E404" t="s">
        <v>412</v>
      </c>
      <c r="F404" t="s">
        <v>219</v>
      </c>
      <c r="G404">
        <v>11</v>
      </c>
      <c r="H404" t="s">
        <v>33</v>
      </c>
      <c r="I404">
        <v>4217</v>
      </c>
      <c r="K404" t="s">
        <v>413</v>
      </c>
      <c r="L404">
        <v>4276</v>
      </c>
      <c r="N404" t="s">
        <v>297</v>
      </c>
      <c r="O404" t="str">
        <f t="shared" si="6"/>
        <v>Tg(sox10:TagRFP)==Tg(sox10:Gal4)(cmlc2:GFP)==Tg(UAS:GFP-2xFYVE)</v>
      </c>
    </row>
    <row r="405" spans="1:15" x14ac:dyDescent="0.3">
      <c r="A405">
        <v>4503</v>
      </c>
      <c r="B405">
        <v>43279</v>
      </c>
      <c r="D405" t="s">
        <v>223</v>
      </c>
      <c r="E405" t="s">
        <v>414</v>
      </c>
      <c r="G405">
        <v>35</v>
      </c>
      <c r="H405" t="s">
        <v>33</v>
      </c>
      <c r="I405">
        <v>2695</v>
      </c>
      <c r="K405" t="s">
        <v>223</v>
      </c>
      <c r="L405">
        <v>2895</v>
      </c>
      <c r="M405" t="s">
        <v>85</v>
      </c>
      <c r="O405" t="str">
        <f t="shared" si="6"/>
        <v>Tg(pBH-UAS:SecA5-YFP)==bact:Gal4 inj</v>
      </c>
    </row>
    <row r="406" spans="1:15" x14ac:dyDescent="0.3">
      <c r="A406">
        <v>4504</v>
      </c>
      <c r="B406">
        <v>43282</v>
      </c>
      <c r="C406" t="s">
        <v>415</v>
      </c>
      <c r="G406">
        <v>50</v>
      </c>
      <c r="H406" t="s">
        <v>50</v>
      </c>
      <c r="I406">
        <v>2664</v>
      </c>
      <c r="J406" t="s">
        <v>12</v>
      </c>
      <c r="L406">
        <v>2664</v>
      </c>
      <c r="M406" t="s">
        <v>12</v>
      </c>
      <c r="O406" t="str">
        <f t="shared" si="6"/>
        <v>wif1 CRISPR exon1 f0</v>
      </c>
    </row>
    <row r="407" spans="1:15" x14ac:dyDescent="0.3">
      <c r="A407">
        <v>4505</v>
      </c>
      <c r="B407">
        <v>43288</v>
      </c>
      <c r="C407" t="s">
        <v>416</v>
      </c>
      <c r="G407">
        <v>50</v>
      </c>
      <c r="H407" t="s">
        <v>114</v>
      </c>
      <c r="I407">
        <v>3133</v>
      </c>
      <c r="J407" t="s">
        <v>417</v>
      </c>
      <c r="L407">
        <v>3133</v>
      </c>
      <c r="M407" t="s">
        <v>417</v>
      </c>
      <c r="O407" t="str">
        <f t="shared" si="6"/>
        <v>ctr1+/+;+/-; coa6+/+;+/-;-/-</v>
      </c>
    </row>
    <row r="408" spans="1:15" x14ac:dyDescent="0.3">
      <c r="A408">
        <v>4506</v>
      </c>
      <c r="B408">
        <v>43288</v>
      </c>
      <c r="C408" t="s">
        <v>418</v>
      </c>
      <c r="G408">
        <v>50</v>
      </c>
      <c r="H408" t="s">
        <v>114</v>
      </c>
      <c r="I408">
        <v>3133</v>
      </c>
      <c r="J408" t="s">
        <v>417</v>
      </c>
      <c r="L408">
        <v>3133</v>
      </c>
      <c r="M408" t="s">
        <v>417</v>
      </c>
      <c r="O408" t="str">
        <f t="shared" si="6"/>
        <v>ctr1-/-; coa6+/+;+/-;-/-</v>
      </c>
    </row>
    <row r="409" spans="1:15" x14ac:dyDescent="0.3">
      <c r="A409">
        <v>4507</v>
      </c>
      <c r="B409">
        <v>43288</v>
      </c>
      <c r="C409" t="s">
        <v>419</v>
      </c>
      <c r="G409">
        <v>100</v>
      </c>
      <c r="H409" t="s">
        <v>114</v>
      </c>
      <c r="I409">
        <v>3134</v>
      </c>
      <c r="J409" t="s">
        <v>420</v>
      </c>
      <c r="L409">
        <v>3134</v>
      </c>
      <c r="O409" t="str">
        <f t="shared" si="6"/>
        <v>coa6+/+;+/-;-/-; sco2+/+;+/-;-/-</v>
      </c>
    </row>
    <row r="410" spans="1:15" x14ac:dyDescent="0.3">
      <c r="A410">
        <v>4508</v>
      </c>
      <c r="B410">
        <v>43287</v>
      </c>
      <c r="C410" t="s">
        <v>415</v>
      </c>
      <c r="D410" t="s">
        <v>70</v>
      </c>
      <c r="E410" t="s">
        <v>276</v>
      </c>
      <c r="G410">
        <v>80</v>
      </c>
      <c r="H410" t="s">
        <v>50</v>
      </c>
      <c r="I410">
        <v>2927</v>
      </c>
      <c r="J410" t="s">
        <v>12</v>
      </c>
      <c r="L410">
        <v>3100</v>
      </c>
      <c r="N410" t="s">
        <v>70</v>
      </c>
      <c r="O410" t="str">
        <f t="shared" si="6"/>
        <v>wif1 CRISPR exon1 f0==tg(olig2:dsred2)==UNSORTED</v>
      </c>
    </row>
    <row r="411" spans="1:15" x14ac:dyDescent="0.3">
      <c r="A411">
        <v>4509</v>
      </c>
      <c r="B411">
        <v>43289</v>
      </c>
      <c r="D411" t="s">
        <v>180</v>
      </c>
      <c r="G411">
        <v>50</v>
      </c>
      <c r="H411" t="s">
        <v>50</v>
      </c>
      <c r="I411">
        <v>2328</v>
      </c>
      <c r="K411" t="s">
        <v>180</v>
      </c>
      <c r="L411">
        <v>2328</v>
      </c>
      <c r="N411" t="s">
        <v>180</v>
      </c>
      <c r="O411" t="str">
        <f t="shared" si="6"/>
        <v>tg(mbp:egfp-caax)</v>
      </c>
    </row>
    <row r="412" spans="1:15" x14ac:dyDescent="0.3">
      <c r="A412">
        <v>4510</v>
      </c>
      <c r="B412">
        <v>43289</v>
      </c>
      <c r="D412" t="s">
        <v>180</v>
      </c>
      <c r="E412" t="s">
        <v>162</v>
      </c>
      <c r="G412">
        <v>8</v>
      </c>
      <c r="H412" t="s">
        <v>50</v>
      </c>
      <c r="I412">
        <v>4183</v>
      </c>
      <c r="K412" t="s">
        <v>162</v>
      </c>
      <c r="L412">
        <v>4170</v>
      </c>
      <c r="N412" t="s">
        <v>180</v>
      </c>
      <c r="O412" t="str">
        <f t="shared" si="6"/>
        <v>tg(mbp:egfp-caax)==tg(sox10:mrfp)</v>
      </c>
    </row>
    <row r="413" spans="1:15" x14ac:dyDescent="0.3">
      <c r="A413">
        <v>4511</v>
      </c>
      <c r="B413">
        <v>43289</v>
      </c>
      <c r="D413" t="s">
        <v>162</v>
      </c>
      <c r="G413">
        <v>10</v>
      </c>
      <c r="H413" t="s">
        <v>50</v>
      </c>
      <c r="I413">
        <v>4183</v>
      </c>
      <c r="K413" t="s">
        <v>162</v>
      </c>
      <c r="L413">
        <v>4170</v>
      </c>
      <c r="N413" t="s">
        <v>180</v>
      </c>
      <c r="O413" t="str">
        <f t="shared" si="6"/>
        <v>tg(sox10:mrfp)</v>
      </c>
    </row>
    <row r="414" spans="1:15" x14ac:dyDescent="0.3">
      <c r="A414">
        <v>4512</v>
      </c>
      <c r="B414">
        <v>43290</v>
      </c>
      <c r="C414" t="s">
        <v>421</v>
      </c>
      <c r="G414">
        <v>75</v>
      </c>
      <c r="H414" t="s">
        <v>114</v>
      </c>
      <c r="I414">
        <v>3045</v>
      </c>
      <c r="J414" t="s">
        <v>85</v>
      </c>
      <c r="L414">
        <v>3045</v>
      </c>
      <c r="M414" t="s">
        <v>85</v>
      </c>
      <c r="O414" t="str">
        <f t="shared" si="6"/>
        <v>ndrg3a CRISPR F0</v>
      </c>
    </row>
    <row r="415" spans="1:15" x14ac:dyDescent="0.3">
      <c r="A415">
        <v>4513</v>
      </c>
      <c r="B415">
        <v>43294</v>
      </c>
      <c r="D415" t="s">
        <v>422</v>
      </c>
      <c r="G415">
        <v>65</v>
      </c>
      <c r="H415" t="s">
        <v>13</v>
      </c>
      <c r="O415" t="str">
        <f t="shared" si="6"/>
        <v>Tg(sox10:GCaMP5)</v>
      </c>
    </row>
    <row r="416" spans="1:15" x14ac:dyDescent="0.3">
      <c r="A416">
        <v>4514</v>
      </c>
      <c r="B416">
        <v>43291</v>
      </c>
      <c r="D416" t="s">
        <v>329</v>
      </c>
      <c r="G416">
        <v>100</v>
      </c>
      <c r="H416" t="s">
        <v>251</v>
      </c>
      <c r="I416">
        <v>2409</v>
      </c>
      <c r="K416" t="s">
        <v>329</v>
      </c>
      <c r="L416">
        <v>2409</v>
      </c>
      <c r="N416" t="s">
        <v>329</v>
      </c>
      <c r="O416" t="str">
        <f t="shared" si="6"/>
        <v>Tg(olig2:eGFP)</v>
      </c>
    </row>
    <row r="417" spans="1:15" x14ac:dyDescent="0.3">
      <c r="A417">
        <v>4515</v>
      </c>
      <c r="B417">
        <v>43291</v>
      </c>
      <c r="D417" t="s">
        <v>329</v>
      </c>
      <c r="G417">
        <v>100</v>
      </c>
      <c r="H417" t="s">
        <v>195</v>
      </c>
      <c r="I417">
        <v>2409</v>
      </c>
      <c r="K417" t="s">
        <v>329</v>
      </c>
      <c r="L417">
        <v>2409</v>
      </c>
      <c r="N417" t="s">
        <v>329</v>
      </c>
      <c r="O417" t="str">
        <f t="shared" si="6"/>
        <v>Tg(olig2:eGFP)</v>
      </c>
    </row>
    <row r="418" spans="1:15" x14ac:dyDescent="0.3">
      <c r="A418">
        <v>4516</v>
      </c>
      <c r="B418">
        <v>43292</v>
      </c>
      <c r="C418" t="s">
        <v>423</v>
      </c>
      <c r="G418">
        <v>50</v>
      </c>
      <c r="H418" t="s">
        <v>50</v>
      </c>
      <c r="I418">
        <v>3044</v>
      </c>
      <c r="J418" t="s">
        <v>12</v>
      </c>
      <c r="L418">
        <v>3044</v>
      </c>
      <c r="M418" t="s">
        <v>12</v>
      </c>
      <c r="O418" t="str">
        <f t="shared" si="6"/>
        <v>wif1 CRISPR ex1 f0</v>
      </c>
    </row>
    <row r="419" spans="1:15" x14ac:dyDescent="0.3">
      <c r="A419">
        <v>4517</v>
      </c>
      <c r="B419">
        <v>43292</v>
      </c>
      <c r="D419" t="s">
        <v>424</v>
      </c>
      <c r="G419">
        <v>25</v>
      </c>
      <c r="H419" t="s">
        <v>50</v>
      </c>
      <c r="I419">
        <v>3044</v>
      </c>
      <c r="J419" t="s">
        <v>12</v>
      </c>
      <c r="L419">
        <v>3044</v>
      </c>
      <c r="M419" t="s">
        <v>12</v>
      </c>
      <c r="O419" t="str">
        <f t="shared" si="6"/>
        <v>olig1:tagRFP f0</v>
      </c>
    </row>
    <row r="420" spans="1:15" x14ac:dyDescent="0.3">
      <c r="A420">
        <v>4518</v>
      </c>
      <c r="B420">
        <v>43292</v>
      </c>
      <c r="C420" t="s">
        <v>425</v>
      </c>
      <c r="D420" t="s">
        <v>49</v>
      </c>
      <c r="G420">
        <v>50</v>
      </c>
      <c r="H420" t="s">
        <v>50</v>
      </c>
      <c r="I420">
        <v>2688</v>
      </c>
      <c r="J420" t="s">
        <v>69</v>
      </c>
      <c r="K420" t="s">
        <v>49</v>
      </c>
      <c r="L420">
        <v>2891</v>
      </c>
      <c r="M420" t="s">
        <v>12</v>
      </c>
      <c r="O420" t="str">
        <f t="shared" si="6"/>
        <v>erbb3b st48 +/+; +/- ==tg(sox10:nls-eos)</v>
      </c>
    </row>
    <row r="421" spans="1:15" x14ac:dyDescent="0.3">
      <c r="A421">
        <v>4519</v>
      </c>
      <c r="B421">
        <v>43292</v>
      </c>
      <c r="C421" t="s">
        <v>426</v>
      </c>
      <c r="D421" t="s">
        <v>162</v>
      </c>
      <c r="E421" t="s">
        <v>276</v>
      </c>
      <c r="G421">
        <v>20</v>
      </c>
      <c r="H421" t="s">
        <v>50</v>
      </c>
      <c r="I421">
        <v>2976</v>
      </c>
      <c r="J421" t="s">
        <v>427</v>
      </c>
      <c r="K421" t="s">
        <v>57</v>
      </c>
      <c r="L421">
        <v>2452</v>
      </c>
      <c r="N421" t="s">
        <v>162</v>
      </c>
      <c r="O421" t="str">
        <f t="shared" si="6"/>
        <v>nrg1 z26 +/+; +/-==tg(sox10:mrfp)==UNSORTED</v>
      </c>
    </row>
    <row r="422" spans="1:15" x14ac:dyDescent="0.3">
      <c r="A422">
        <v>4520</v>
      </c>
      <c r="B422">
        <v>43292</v>
      </c>
      <c r="D422" t="s">
        <v>428</v>
      </c>
      <c r="G422">
        <v>100</v>
      </c>
      <c r="H422" t="s">
        <v>298</v>
      </c>
      <c r="I422" t="s">
        <v>429</v>
      </c>
      <c r="J422" t="s">
        <v>257</v>
      </c>
      <c r="K422" t="s">
        <v>430</v>
      </c>
      <c r="L422" t="s">
        <v>429</v>
      </c>
      <c r="M422" t="s">
        <v>257</v>
      </c>
      <c r="N422" t="s">
        <v>430</v>
      </c>
      <c r="O422" t="str">
        <f t="shared" si="6"/>
        <v>Tg(isl-1:GFP)</v>
      </c>
    </row>
    <row r="423" spans="1:15" x14ac:dyDescent="0.3">
      <c r="A423">
        <v>4521</v>
      </c>
      <c r="B423">
        <v>43293</v>
      </c>
      <c r="C423" t="s">
        <v>425</v>
      </c>
      <c r="D423" t="s">
        <v>279</v>
      </c>
      <c r="E423" t="s">
        <v>385</v>
      </c>
      <c r="G423">
        <v>25</v>
      </c>
      <c r="H423" t="s">
        <v>379</v>
      </c>
      <c r="I423">
        <v>2688</v>
      </c>
      <c r="J423" t="s">
        <v>69</v>
      </c>
      <c r="K423" t="s">
        <v>49</v>
      </c>
      <c r="L423">
        <v>4183</v>
      </c>
      <c r="N423" t="s">
        <v>385</v>
      </c>
      <c r="O423" t="str">
        <f t="shared" si="6"/>
        <v>erbb3b st48 +/+; +/- ==Tg(sox10:nls-eos)==Tg(sox10:mRFP)</v>
      </c>
    </row>
    <row r="424" spans="1:15" x14ac:dyDescent="0.3">
      <c r="A424">
        <v>4522</v>
      </c>
      <c r="B424">
        <v>43296</v>
      </c>
      <c r="D424" t="s">
        <v>272</v>
      </c>
      <c r="G424">
        <v>20</v>
      </c>
      <c r="H424" t="s">
        <v>114</v>
      </c>
      <c r="I424">
        <v>3154</v>
      </c>
      <c r="K424" t="s">
        <v>272</v>
      </c>
      <c r="L424">
        <v>3045</v>
      </c>
      <c r="M424" t="s">
        <v>85</v>
      </c>
      <c r="O424" t="str">
        <f t="shared" si="6"/>
        <v>Tg(sox10:eos)</v>
      </c>
    </row>
    <row r="425" spans="1:15" x14ac:dyDescent="0.3">
      <c r="A425">
        <v>4523</v>
      </c>
      <c r="B425">
        <v>43297</v>
      </c>
      <c r="D425" t="s">
        <v>385</v>
      </c>
      <c r="G425">
        <v>10</v>
      </c>
      <c r="H425" t="s">
        <v>114</v>
      </c>
      <c r="I425">
        <v>3045</v>
      </c>
      <c r="J425" t="s">
        <v>85</v>
      </c>
      <c r="L425">
        <v>2865</v>
      </c>
      <c r="O425" t="str">
        <f t="shared" si="6"/>
        <v>Tg(sox10:mRFP)</v>
      </c>
    </row>
    <row r="426" spans="1:15" x14ac:dyDescent="0.3">
      <c r="A426">
        <v>4524</v>
      </c>
      <c r="B426">
        <v>43293</v>
      </c>
      <c r="D426" t="s">
        <v>431</v>
      </c>
      <c r="G426">
        <v>30</v>
      </c>
      <c r="H426" t="s">
        <v>379</v>
      </c>
      <c r="I426">
        <v>2904</v>
      </c>
      <c r="J426" t="s">
        <v>12</v>
      </c>
      <c r="L426">
        <v>2904</v>
      </c>
      <c r="M426" t="s">
        <v>12</v>
      </c>
      <c r="O426" t="str">
        <f t="shared" si="6"/>
        <v>Tg(UAS:GCaMP5)</v>
      </c>
    </row>
    <row r="427" spans="1:15" x14ac:dyDescent="0.3">
      <c r="A427">
        <v>4525</v>
      </c>
      <c r="B427">
        <v>43298</v>
      </c>
      <c r="D427" t="s">
        <v>424</v>
      </c>
      <c r="G427">
        <v>50</v>
      </c>
      <c r="H427" t="s">
        <v>50</v>
      </c>
      <c r="I427">
        <v>2664</v>
      </c>
      <c r="J427" t="s">
        <v>12</v>
      </c>
      <c r="L427">
        <v>2664</v>
      </c>
      <c r="M427" t="s">
        <v>12</v>
      </c>
      <c r="O427" t="str">
        <f t="shared" si="6"/>
        <v>olig1:tagRFP f0</v>
      </c>
    </row>
    <row r="428" spans="1:15" x14ac:dyDescent="0.3">
      <c r="A428">
        <v>4526</v>
      </c>
      <c r="B428">
        <v>43301</v>
      </c>
      <c r="D428" t="s">
        <v>407</v>
      </c>
      <c r="G428">
        <v>70</v>
      </c>
      <c r="H428" t="s">
        <v>13</v>
      </c>
      <c r="O428" t="str">
        <f t="shared" si="6"/>
        <v>Tg(zubi:zFlp)</v>
      </c>
    </row>
    <row r="429" spans="1:15" x14ac:dyDescent="0.3">
      <c r="A429">
        <v>4527</v>
      </c>
      <c r="B429">
        <v>43297</v>
      </c>
      <c r="C429" t="s">
        <v>432</v>
      </c>
      <c r="G429">
        <v>85</v>
      </c>
      <c r="H429" t="s">
        <v>379</v>
      </c>
      <c r="I429" t="s">
        <v>433</v>
      </c>
      <c r="J429" t="s">
        <v>434</v>
      </c>
      <c r="L429" t="s">
        <v>433</v>
      </c>
      <c r="M429" t="s">
        <v>434</v>
      </c>
      <c r="O429" t="str">
        <f t="shared" si="6"/>
        <v>slc7a7 +/-; +/-</v>
      </c>
    </row>
    <row r="430" spans="1:15" x14ac:dyDescent="0.3">
      <c r="A430">
        <v>4528</v>
      </c>
      <c r="B430">
        <v>43115</v>
      </c>
      <c r="D430" t="s">
        <v>435</v>
      </c>
      <c r="G430">
        <v>10</v>
      </c>
      <c r="H430" t="s">
        <v>33</v>
      </c>
      <c r="I430" t="s">
        <v>436</v>
      </c>
      <c r="K430" t="s">
        <v>435</v>
      </c>
      <c r="O430" t="str">
        <f t="shared" si="6"/>
        <v>Tg(mpeg1:NTR-eYFP)</v>
      </c>
    </row>
    <row r="431" spans="1:15" x14ac:dyDescent="0.3">
      <c r="A431">
        <v>4529</v>
      </c>
      <c r="B431">
        <v>42701</v>
      </c>
      <c r="C431" t="s">
        <v>437</v>
      </c>
      <c r="G431">
        <v>15</v>
      </c>
      <c r="H431" t="s">
        <v>39</v>
      </c>
      <c r="I431" t="s">
        <v>438</v>
      </c>
      <c r="O431" t="str">
        <f t="shared" si="6"/>
        <v>nkx2.2a -/+</v>
      </c>
    </row>
    <row r="432" spans="1:15" x14ac:dyDescent="0.3">
      <c r="A432">
        <v>4530</v>
      </c>
      <c r="B432">
        <v>43048</v>
      </c>
      <c r="C432" t="s">
        <v>439</v>
      </c>
      <c r="G432">
        <v>15</v>
      </c>
      <c r="H432" t="s">
        <v>39</v>
      </c>
      <c r="I432" t="s">
        <v>440</v>
      </c>
      <c r="O432" t="str">
        <f t="shared" si="6"/>
        <v>nkx2.2a -/+ +/+</v>
      </c>
    </row>
    <row r="433" spans="1:15" x14ac:dyDescent="0.3">
      <c r="A433">
        <v>4531</v>
      </c>
      <c r="B433">
        <v>43309</v>
      </c>
      <c r="C433" t="s">
        <v>441</v>
      </c>
      <c r="G433">
        <v>35</v>
      </c>
      <c r="H433" t="s">
        <v>13</v>
      </c>
      <c r="I433">
        <v>3020</v>
      </c>
      <c r="J433" t="s">
        <v>382</v>
      </c>
      <c r="L433">
        <v>4249</v>
      </c>
      <c r="M433" t="s">
        <v>442</v>
      </c>
      <c r="O433" t="str">
        <f t="shared" si="6"/>
        <v>nf1a+/-;nf1b-/-</v>
      </c>
    </row>
    <row r="434" spans="1:15" x14ac:dyDescent="0.3">
      <c r="A434">
        <v>4532</v>
      </c>
      <c r="B434">
        <v>43306</v>
      </c>
      <c r="D434" t="s">
        <v>57</v>
      </c>
      <c r="G434">
        <v>40</v>
      </c>
      <c r="H434" t="s">
        <v>50</v>
      </c>
      <c r="I434">
        <v>3130</v>
      </c>
      <c r="K434" t="s">
        <v>57</v>
      </c>
      <c r="L434">
        <v>3130</v>
      </c>
      <c r="N434" t="s">
        <v>57</v>
      </c>
      <c r="O434" t="str">
        <f t="shared" si="6"/>
        <v>tg(sox10:eos)</v>
      </c>
    </row>
    <row r="435" spans="1:15" x14ac:dyDescent="0.3">
      <c r="A435">
        <v>4533</v>
      </c>
      <c r="B435">
        <v>43306</v>
      </c>
      <c r="D435" t="s">
        <v>424</v>
      </c>
      <c r="G435">
        <v>40</v>
      </c>
      <c r="H435" t="s">
        <v>50</v>
      </c>
      <c r="I435">
        <v>2664</v>
      </c>
      <c r="J435" t="s">
        <v>12</v>
      </c>
      <c r="L435">
        <v>2664</v>
      </c>
      <c r="M435" t="s">
        <v>12</v>
      </c>
      <c r="O435" t="str">
        <f t="shared" si="6"/>
        <v>olig1:tagRFP f0</v>
      </c>
    </row>
    <row r="436" spans="1:15" x14ac:dyDescent="0.3">
      <c r="A436">
        <v>4534</v>
      </c>
      <c r="B436">
        <v>43315</v>
      </c>
      <c r="C436" t="s">
        <v>441</v>
      </c>
      <c r="G436">
        <v>70</v>
      </c>
      <c r="H436" t="s">
        <v>13</v>
      </c>
      <c r="I436">
        <v>3020</v>
      </c>
      <c r="J436" t="s">
        <v>382</v>
      </c>
      <c r="L436">
        <v>4249</v>
      </c>
      <c r="M436" t="s">
        <v>442</v>
      </c>
      <c r="O436" t="str">
        <f t="shared" si="6"/>
        <v>nf1a+/-;nf1b-/-</v>
      </c>
    </row>
    <row r="437" spans="1:15" x14ac:dyDescent="0.3">
      <c r="A437">
        <v>4535</v>
      </c>
      <c r="B437">
        <v>43312</v>
      </c>
      <c r="D437" t="s">
        <v>174</v>
      </c>
      <c r="E437" t="s">
        <v>443</v>
      </c>
      <c r="F437" t="s">
        <v>444</v>
      </c>
      <c r="G437">
        <v>7</v>
      </c>
      <c r="H437" t="s">
        <v>33</v>
      </c>
      <c r="I437">
        <v>2894</v>
      </c>
      <c r="J437" t="s">
        <v>85</v>
      </c>
      <c r="L437">
        <v>4227</v>
      </c>
      <c r="N437" t="s">
        <v>174</v>
      </c>
      <c r="O437" t="str">
        <f t="shared" si="6"/>
        <v>Tg(mpeg1:mCherry)==mpeg1:rttA; cmlc2:GFP inj.==TRE:BELMO inj.</v>
      </c>
    </row>
    <row r="438" spans="1:15" x14ac:dyDescent="0.3">
      <c r="A438">
        <v>4536</v>
      </c>
      <c r="B438">
        <v>43312</v>
      </c>
      <c r="D438" t="s">
        <v>443</v>
      </c>
      <c r="E438" t="s">
        <v>444</v>
      </c>
      <c r="G438">
        <v>7</v>
      </c>
      <c r="H438" t="s">
        <v>33</v>
      </c>
      <c r="I438">
        <v>2894</v>
      </c>
      <c r="J438" t="s">
        <v>85</v>
      </c>
      <c r="L438">
        <v>4227</v>
      </c>
      <c r="N438" t="s">
        <v>174</v>
      </c>
      <c r="O438" t="str">
        <f t="shared" si="6"/>
        <v>mpeg1:rttA; cmlc2:GFP inj.==TRE:BELMO inj.</v>
      </c>
    </row>
    <row r="439" spans="1:15" x14ac:dyDescent="0.3">
      <c r="A439">
        <v>4537</v>
      </c>
      <c r="B439">
        <v>43313</v>
      </c>
      <c r="D439" t="s">
        <v>84</v>
      </c>
      <c r="G439">
        <v>25</v>
      </c>
      <c r="H439" t="s">
        <v>33</v>
      </c>
      <c r="I439">
        <v>4280</v>
      </c>
      <c r="K439" t="s">
        <v>84</v>
      </c>
      <c r="L439">
        <v>2894</v>
      </c>
      <c r="M439" t="s">
        <v>12</v>
      </c>
      <c r="O439" t="str">
        <f t="shared" si="6"/>
        <v>Tg(sox10:nls-EOS)</v>
      </c>
    </row>
    <row r="440" spans="1:15" x14ac:dyDescent="0.3">
      <c r="A440">
        <v>4538</v>
      </c>
      <c r="B440">
        <v>43320</v>
      </c>
      <c r="D440" t="s">
        <v>445</v>
      </c>
      <c r="G440">
        <v>90</v>
      </c>
      <c r="H440" t="s">
        <v>379</v>
      </c>
      <c r="I440" t="s">
        <v>406</v>
      </c>
      <c r="K440" t="s">
        <v>405</v>
      </c>
      <c r="L440" t="s">
        <v>406</v>
      </c>
      <c r="N440" t="s">
        <v>405</v>
      </c>
      <c r="O440" t="str">
        <f t="shared" si="6"/>
        <v>Tg(HuC:GCaMP6s)</v>
      </c>
    </row>
    <row r="441" spans="1:15" x14ac:dyDescent="0.3">
      <c r="A441">
        <v>4539</v>
      </c>
      <c r="B441">
        <v>43318</v>
      </c>
      <c r="C441" t="s">
        <v>446</v>
      </c>
      <c r="G441">
        <v>34</v>
      </c>
      <c r="H441" t="s">
        <v>140</v>
      </c>
      <c r="I441">
        <v>2907</v>
      </c>
      <c r="K441" t="s">
        <v>177</v>
      </c>
      <c r="L441">
        <v>2671</v>
      </c>
      <c r="N441" t="s">
        <v>37</v>
      </c>
      <c r="O441" t="str">
        <f t="shared" si="6"/>
        <v>1.6 met CRISPR</v>
      </c>
    </row>
    <row r="442" spans="1:15" x14ac:dyDescent="0.3">
      <c r="A442">
        <v>4540</v>
      </c>
      <c r="B442">
        <v>43318</v>
      </c>
      <c r="C442" t="s">
        <v>446</v>
      </c>
      <c r="D442" t="s">
        <v>177</v>
      </c>
      <c r="G442">
        <v>100</v>
      </c>
      <c r="H442" t="s">
        <v>140</v>
      </c>
      <c r="I442">
        <v>4128</v>
      </c>
      <c r="K442" t="s">
        <v>177</v>
      </c>
      <c r="L442">
        <v>4128</v>
      </c>
      <c r="N442" t="s">
        <v>177</v>
      </c>
      <c r="O442" t="str">
        <f t="shared" si="6"/>
        <v>1.6 met CRISPR==Tg(olig2:egfp)</v>
      </c>
    </row>
    <row r="443" spans="1:15" x14ac:dyDescent="0.3">
      <c r="A443">
        <v>4541</v>
      </c>
      <c r="B443">
        <v>43318</v>
      </c>
      <c r="C443" t="s">
        <v>446</v>
      </c>
      <c r="D443" t="s">
        <v>177</v>
      </c>
      <c r="E443" t="s">
        <v>37</v>
      </c>
      <c r="G443">
        <v>6</v>
      </c>
      <c r="H443" t="s">
        <v>140</v>
      </c>
      <c r="I443">
        <v>2907</v>
      </c>
      <c r="K443" t="s">
        <v>177</v>
      </c>
      <c r="L443">
        <v>2671</v>
      </c>
      <c r="N443" t="s">
        <v>37</v>
      </c>
      <c r="O443" t="str">
        <f t="shared" si="6"/>
        <v>1.6 met CRISPR==Tg(olig2:egfp)==Tg(sox10:mrfp)</v>
      </c>
    </row>
    <row r="444" spans="1:15" x14ac:dyDescent="0.3">
      <c r="A444">
        <v>4542</v>
      </c>
      <c r="B444">
        <v>43318</v>
      </c>
      <c r="C444" t="s">
        <v>446</v>
      </c>
      <c r="D444" t="s">
        <v>37</v>
      </c>
      <c r="G444">
        <v>6</v>
      </c>
      <c r="H444" t="s">
        <v>140</v>
      </c>
      <c r="I444">
        <v>2907</v>
      </c>
      <c r="K444" t="s">
        <v>177</v>
      </c>
      <c r="L444">
        <v>2671</v>
      </c>
      <c r="N444" t="s">
        <v>37</v>
      </c>
      <c r="O444" t="str">
        <f t="shared" si="6"/>
        <v>1.6 met CRISPR==Tg(sox10:mrfp)</v>
      </c>
    </row>
    <row r="445" spans="1:15" x14ac:dyDescent="0.3">
      <c r="A445">
        <v>4543</v>
      </c>
      <c r="B445">
        <v>43320</v>
      </c>
      <c r="C445" t="s">
        <v>447</v>
      </c>
      <c r="D445" t="s">
        <v>275</v>
      </c>
      <c r="E445" t="s">
        <v>276</v>
      </c>
      <c r="G445">
        <v>40</v>
      </c>
      <c r="H445" t="s">
        <v>50</v>
      </c>
      <c r="I445">
        <v>3100</v>
      </c>
      <c r="K445" t="s">
        <v>275</v>
      </c>
      <c r="L445">
        <v>4447</v>
      </c>
      <c r="M445" t="s">
        <v>448</v>
      </c>
      <c r="O445" t="str">
        <f t="shared" si="6"/>
        <v>adora2c f1==Tg(olig2:dsred2)==UNSORTED</v>
      </c>
    </row>
    <row r="446" spans="1:15" x14ac:dyDescent="0.3">
      <c r="A446">
        <v>4544</v>
      </c>
      <c r="B446">
        <v>43320</v>
      </c>
      <c r="D446" t="s">
        <v>449</v>
      </c>
      <c r="G446">
        <v>40</v>
      </c>
      <c r="H446" t="s">
        <v>108</v>
      </c>
      <c r="I446">
        <v>2513</v>
      </c>
      <c r="K446" t="s">
        <v>449</v>
      </c>
      <c r="L446">
        <v>2903</v>
      </c>
      <c r="N446" t="s">
        <v>12</v>
      </c>
      <c r="O446" t="str">
        <f t="shared" si="6"/>
        <v>Tg(ctgfa:egfp)</v>
      </c>
    </row>
    <row r="447" spans="1:15" x14ac:dyDescent="0.3">
      <c r="A447">
        <v>4545</v>
      </c>
      <c r="B447">
        <v>43320</v>
      </c>
      <c r="D447" t="s">
        <v>162</v>
      </c>
      <c r="E447" t="s">
        <v>38</v>
      </c>
      <c r="G447">
        <v>40</v>
      </c>
      <c r="H447" t="s">
        <v>108</v>
      </c>
      <c r="I447">
        <v>2074</v>
      </c>
      <c r="K447" t="s">
        <v>38</v>
      </c>
      <c r="L447">
        <v>2547</v>
      </c>
      <c r="N447" t="s">
        <v>12</v>
      </c>
      <c r="O447" t="str">
        <f t="shared" si="6"/>
        <v>tg(sox10:mrfp)==Tg(nkx2.2a:megfp)</v>
      </c>
    </row>
    <row r="448" spans="1:15" x14ac:dyDescent="0.3">
      <c r="A448">
        <v>4546</v>
      </c>
      <c r="B448">
        <v>43320</v>
      </c>
      <c r="C448" t="s">
        <v>12</v>
      </c>
      <c r="G448">
        <v>50</v>
      </c>
      <c r="H448" t="s">
        <v>50</v>
      </c>
      <c r="I448">
        <v>3045</v>
      </c>
      <c r="J448" t="s">
        <v>12</v>
      </c>
      <c r="L448">
        <v>3045</v>
      </c>
      <c r="M448" t="s">
        <v>12</v>
      </c>
      <c r="O448" t="str">
        <f t="shared" si="6"/>
        <v>AB*</v>
      </c>
    </row>
    <row r="449" spans="1:15" x14ac:dyDescent="0.3">
      <c r="A449">
        <v>4547</v>
      </c>
      <c r="B449">
        <v>43325</v>
      </c>
      <c r="D449" t="s">
        <v>450</v>
      </c>
      <c r="G449">
        <v>100</v>
      </c>
      <c r="H449" t="s">
        <v>251</v>
      </c>
      <c r="I449">
        <v>2960</v>
      </c>
      <c r="J449" t="s">
        <v>12</v>
      </c>
      <c r="L449">
        <v>2960</v>
      </c>
      <c r="M449" t="s">
        <v>12</v>
      </c>
      <c r="O449" t="str">
        <f t="shared" si="6"/>
        <v>Tg(cd59:TagRFP)</v>
      </c>
    </row>
    <row r="450" spans="1:15" x14ac:dyDescent="0.3">
      <c r="A450">
        <v>4548</v>
      </c>
      <c r="B450">
        <v>43331</v>
      </c>
      <c r="D450" t="s">
        <v>358</v>
      </c>
      <c r="G450">
        <v>88</v>
      </c>
      <c r="H450" t="s">
        <v>13</v>
      </c>
      <c r="I450">
        <v>4423</v>
      </c>
      <c r="K450" t="s">
        <v>358</v>
      </c>
      <c r="L450">
        <v>4000</v>
      </c>
      <c r="M450" t="s">
        <v>12</v>
      </c>
      <c r="O450" t="str">
        <f t="shared" si="6"/>
        <v>Tg(eab2:zFlp)</v>
      </c>
    </row>
    <row r="451" spans="1:15" x14ac:dyDescent="0.3">
      <c r="A451">
        <v>4549</v>
      </c>
      <c r="B451">
        <v>43331</v>
      </c>
      <c r="D451" t="s">
        <v>346</v>
      </c>
      <c r="G451">
        <v>100</v>
      </c>
      <c r="H451" t="s">
        <v>13</v>
      </c>
      <c r="I451">
        <v>4413</v>
      </c>
      <c r="K451" t="s">
        <v>346</v>
      </c>
      <c r="L451">
        <v>4000</v>
      </c>
      <c r="M451" t="s">
        <v>12</v>
      </c>
      <c r="O451" t="str">
        <f t="shared" ref="O451:O514" si="7">TEXTJOIN("==",TRUE,C451:F451)</f>
        <v>Tg(sox10:zFlp)</v>
      </c>
    </row>
    <row r="452" spans="1:15" x14ac:dyDescent="0.3">
      <c r="A452">
        <v>4550</v>
      </c>
      <c r="B452">
        <v>43331</v>
      </c>
      <c r="D452" t="s">
        <v>451</v>
      </c>
      <c r="G452">
        <v>60</v>
      </c>
      <c r="H452" t="s">
        <v>13</v>
      </c>
      <c r="I452">
        <v>4463</v>
      </c>
      <c r="K452" t="s">
        <v>451</v>
      </c>
      <c r="L452">
        <v>4406</v>
      </c>
      <c r="M452" t="s">
        <v>12</v>
      </c>
      <c r="O452" t="str">
        <f t="shared" si="7"/>
        <v>Tg(eab2:FRT-EGFP-FRT-mApple)</v>
      </c>
    </row>
    <row r="453" spans="1:15" x14ac:dyDescent="0.3">
      <c r="A453">
        <v>4551</v>
      </c>
      <c r="B453">
        <v>43326</v>
      </c>
      <c r="C453" t="s">
        <v>12</v>
      </c>
      <c r="G453">
        <v>60</v>
      </c>
      <c r="H453" t="s">
        <v>30</v>
      </c>
      <c r="I453">
        <v>4193</v>
      </c>
      <c r="J453" t="s">
        <v>12</v>
      </c>
      <c r="L453">
        <v>4193</v>
      </c>
      <c r="M453" t="s">
        <v>12</v>
      </c>
      <c r="O453" t="str">
        <f t="shared" si="7"/>
        <v>AB*</v>
      </c>
    </row>
    <row r="454" spans="1:15" x14ac:dyDescent="0.3">
      <c r="A454">
        <v>4552</v>
      </c>
      <c r="B454">
        <v>43326</v>
      </c>
      <c r="D454" t="s">
        <v>29</v>
      </c>
      <c r="G454">
        <v>110</v>
      </c>
      <c r="H454" t="s">
        <v>33</v>
      </c>
      <c r="I454" t="s">
        <v>452</v>
      </c>
      <c r="K454" t="s">
        <v>29</v>
      </c>
      <c r="L454" t="s">
        <v>452</v>
      </c>
      <c r="N454" t="s">
        <v>29</v>
      </c>
      <c r="O454" t="str">
        <f t="shared" si="7"/>
        <v>Tg(pBH-UAS:secA5-YFP)</v>
      </c>
    </row>
    <row r="455" spans="1:15" x14ac:dyDescent="0.3">
      <c r="A455">
        <v>4553</v>
      </c>
      <c r="B455">
        <v>43326</v>
      </c>
      <c r="D455" t="s">
        <v>297</v>
      </c>
      <c r="G455">
        <v>18</v>
      </c>
      <c r="H455" t="s">
        <v>33</v>
      </c>
      <c r="I455">
        <v>4276</v>
      </c>
      <c r="K455" t="s">
        <v>297</v>
      </c>
      <c r="L455">
        <v>4276</v>
      </c>
      <c r="N455" t="s">
        <v>297</v>
      </c>
      <c r="O455" t="str">
        <f t="shared" si="7"/>
        <v>Tg(sox10:TagRFP)</v>
      </c>
    </row>
    <row r="456" spans="1:15" x14ac:dyDescent="0.3">
      <c r="A456">
        <v>4554</v>
      </c>
      <c r="B456">
        <v>43328</v>
      </c>
      <c r="C456" t="s">
        <v>453</v>
      </c>
      <c r="G456">
        <v>100</v>
      </c>
      <c r="H456" t="s">
        <v>50</v>
      </c>
      <c r="I456">
        <v>4210</v>
      </c>
      <c r="J456" t="s">
        <v>454</v>
      </c>
      <c r="L456">
        <v>4210</v>
      </c>
      <c r="M456" t="s">
        <v>454</v>
      </c>
      <c r="O456" t="str">
        <f t="shared" si="7"/>
        <v>AB* (paw)</v>
      </c>
    </row>
    <row r="457" spans="1:15" x14ac:dyDescent="0.3">
      <c r="A457">
        <v>4555</v>
      </c>
      <c r="B457">
        <v>43328</v>
      </c>
      <c r="C457" t="s">
        <v>12</v>
      </c>
      <c r="G457">
        <v>60</v>
      </c>
      <c r="H457" t="s">
        <v>50</v>
      </c>
      <c r="I457">
        <v>3045</v>
      </c>
      <c r="J457" t="s">
        <v>12</v>
      </c>
      <c r="L457">
        <v>3045</v>
      </c>
      <c r="M457" t="s">
        <v>12</v>
      </c>
      <c r="O457" t="str">
        <f t="shared" si="7"/>
        <v>AB*</v>
      </c>
    </row>
    <row r="458" spans="1:15" x14ac:dyDescent="0.3">
      <c r="A458">
        <v>4556</v>
      </c>
      <c r="B458">
        <v>43328</v>
      </c>
      <c r="C458" t="s">
        <v>455</v>
      </c>
      <c r="D458" t="s">
        <v>70</v>
      </c>
      <c r="E458" t="s">
        <v>276</v>
      </c>
      <c r="G458">
        <v>80</v>
      </c>
      <c r="H458" t="s">
        <v>50</v>
      </c>
      <c r="I458">
        <v>3122</v>
      </c>
      <c r="J458" t="s">
        <v>456</v>
      </c>
      <c r="K458" t="s">
        <v>70</v>
      </c>
      <c r="L458">
        <v>4447</v>
      </c>
      <c r="M458" t="s">
        <v>457</v>
      </c>
      <c r="O458" t="str">
        <f t="shared" si="7"/>
        <v>adora2ab(-52)+/+;+/-, adora2c F1==tg(olig2:dsred2)==UNSORTED</v>
      </c>
    </row>
    <row r="459" spans="1:15" x14ac:dyDescent="0.3">
      <c r="A459">
        <v>4557</v>
      </c>
      <c r="B459">
        <v>43328</v>
      </c>
      <c r="C459" t="s">
        <v>215</v>
      </c>
      <c r="G459">
        <v>100</v>
      </c>
      <c r="H459" t="s">
        <v>140</v>
      </c>
      <c r="I459">
        <v>3017</v>
      </c>
      <c r="J459" t="s">
        <v>454</v>
      </c>
      <c r="L459">
        <v>3017</v>
      </c>
      <c r="M459" t="s">
        <v>215</v>
      </c>
      <c r="O459" t="str">
        <f t="shared" si="7"/>
        <v>AB-Paw</v>
      </c>
    </row>
    <row r="460" spans="1:15" x14ac:dyDescent="0.3">
      <c r="A460">
        <v>4558</v>
      </c>
      <c r="B460">
        <v>43328</v>
      </c>
      <c r="C460" t="s">
        <v>446</v>
      </c>
      <c r="D460" t="s">
        <v>37</v>
      </c>
      <c r="G460">
        <v>20</v>
      </c>
      <c r="H460" t="s">
        <v>140</v>
      </c>
      <c r="I460">
        <v>4128</v>
      </c>
      <c r="K460" t="s">
        <v>177</v>
      </c>
      <c r="L460">
        <v>4123</v>
      </c>
      <c r="N460" t="s">
        <v>37</v>
      </c>
      <c r="O460" t="str">
        <f t="shared" si="7"/>
        <v>1.6 met CRISPR==Tg(sox10:mrfp)</v>
      </c>
    </row>
    <row r="461" spans="1:15" x14ac:dyDescent="0.3">
      <c r="A461">
        <v>4559</v>
      </c>
      <c r="B461">
        <v>43328</v>
      </c>
      <c r="C461" t="s">
        <v>446</v>
      </c>
      <c r="D461" t="s">
        <v>177</v>
      </c>
      <c r="G461">
        <v>30</v>
      </c>
      <c r="H461" t="s">
        <v>140</v>
      </c>
      <c r="I461">
        <v>4128</v>
      </c>
      <c r="K461" t="s">
        <v>177</v>
      </c>
      <c r="L461">
        <v>2907</v>
      </c>
      <c r="N461" t="s">
        <v>37</v>
      </c>
      <c r="O461" t="str">
        <f t="shared" si="7"/>
        <v>1.6 met CRISPR==Tg(olig2:egfp)</v>
      </c>
    </row>
    <row r="462" spans="1:15" x14ac:dyDescent="0.3">
      <c r="A462">
        <v>4560</v>
      </c>
      <c r="B462">
        <v>43328</v>
      </c>
      <c r="C462" t="s">
        <v>446</v>
      </c>
      <c r="D462" t="s">
        <v>177</v>
      </c>
      <c r="E462" t="s">
        <v>37</v>
      </c>
      <c r="G462">
        <v>15</v>
      </c>
      <c r="H462" t="s">
        <v>140</v>
      </c>
      <c r="I462">
        <v>4128</v>
      </c>
      <c r="K462" t="s">
        <v>177</v>
      </c>
      <c r="L462">
        <v>4123</v>
      </c>
      <c r="N462" t="s">
        <v>37</v>
      </c>
      <c r="O462" t="str">
        <f t="shared" si="7"/>
        <v>1.6 met CRISPR==Tg(olig2:egfp)==Tg(sox10:mrfp)</v>
      </c>
    </row>
    <row r="463" spans="1:15" x14ac:dyDescent="0.3">
      <c r="A463">
        <v>4561</v>
      </c>
      <c r="B463">
        <v>43328</v>
      </c>
      <c r="C463" t="s">
        <v>458</v>
      </c>
      <c r="D463" t="s">
        <v>183</v>
      </c>
      <c r="E463" t="s">
        <v>276</v>
      </c>
      <c r="G463">
        <v>60</v>
      </c>
      <c r="H463" t="s">
        <v>50</v>
      </c>
      <c r="I463">
        <v>4235</v>
      </c>
      <c r="J463" t="s">
        <v>12</v>
      </c>
      <c r="L463">
        <v>4414</v>
      </c>
      <c r="M463" t="s">
        <v>63</v>
      </c>
      <c r="N463" t="s">
        <v>183</v>
      </c>
      <c r="O463" t="str">
        <f t="shared" si="7"/>
        <v>lingo1b F1==tg(olig2:egfp)==UNSORTED</v>
      </c>
    </row>
    <row r="464" spans="1:15" x14ac:dyDescent="0.3">
      <c r="A464">
        <v>4562</v>
      </c>
      <c r="B464">
        <v>43333</v>
      </c>
      <c r="D464" t="s">
        <v>459</v>
      </c>
      <c r="G464">
        <v>30</v>
      </c>
      <c r="H464" t="s">
        <v>379</v>
      </c>
      <c r="I464">
        <v>4196</v>
      </c>
      <c r="J464" t="s">
        <v>12</v>
      </c>
      <c r="L464">
        <v>4196</v>
      </c>
      <c r="M464" t="s">
        <v>12</v>
      </c>
      <c r="O464" t="str">
        <f t="shared" si="7"/>
        <v>Tg(uas-RCaMP1h)(cmlc2:egfp)</v>
      </c>
    </row>
    <row r="465" spans="1:15" x14ac:dyDescent="0.3">
      <c r="A465">
        <v>4563</v>
      </c>
      <c r="B465">
        <v>43333</v>
      </c>
      <c r="D465" t="s">
        <v>460</v>
      </c>
      <c r="G465">
        <v>30</v>
      </c>
      <c r="H465" t="s">
        <v>379</v>
      </c>
      <c r="I465">
        <v>4197</v>
      </c>
      <c r="J465" t="s">
        <v>12</v>
      </c>
      <c r="L465">
        <v>4197</v>
      </c>
      <c r="M465" t="s">
        <v>12</v>
      </c>
      <c r="O465" t="str">
        <f t="shared" si="7"/>
        <v>Tg(uas-iGluSnFr)(cmlc2:egfp)</v>
      </c>
    </row>
    <row r="466" spans="1:15" x14ac:dyDescent="0.3">
      <c r="A466">
        <v>4564</v>
      </c>
      <c r="B466">
        <v>43336</v>
      </c>
      <c r="C466" t="s">
        <v>461</v>
      </c>
      <c r="D466" t="s">
        <v>373</v>
      </c>
      <c r="G466">
        <v>60</v>
      </c>
      <c r="H466" t="s">
        <v>13</v>
      </c>
      <c r="I466">
        <v>4486</v>
      </c>
      <c r="J466" t="s">
        <v>441</v>
      </c>
      <c r="L466">
        <v>4486</v>
      </c>
      <c r="M466" t="s">
        <v>12</v>
      </c>
      <c r="O466" t="str">
        <f t="shared" si="7"/>
        <v>nf1b-/-==Ki(eab2:GA)</v>
      </c>
    </row>
    <row r="467" spans="1:15" x14ac:dyDescent="0.3">
      <c r="A467">
        <v>4565</v>
      </c>
      <c r="B467">
        <v>43336</v>
      </c>
      <c r="D467" t="s">
        <v>462</v>
      </c>
      <c r="E467" t="s">
        <v>463</v>
      </c>
      <c r="G467">
        <v>35</v>
      </c>
      <c r="H467" t="s">
        <v>379</v>
      </c>
      <c r="I467">
        <v>4384</v>
      </c>
      <c r="K467" t="s">
        <v>462</v>
      </c>
      <c r="L467">
        <v>4245</v>
      </c>
      <c r="N467" t="s">
        <v>463</v>
      </c>
      <c r="O467" t="str">
        <f t="shared" si="7"/>
        <v>Tg(nbt:dsRed)==Tg(sox10:meGFP)</v>
      </c>
    </row>
    <row r="468" spans="1:15" x14ac:dyDescent="0.3">
      <c r="A468">
        <v>4566</v>
      </c>
      <c r="B468">
        <v>43336</v>
      </c>
      <c r="D468" t="s">
        <v>37</v>
      </c>
      <c r="G468">
        <v>200</v>
      </c>
      <c r="H468" t="s">
        <v>379</v>
      </c>
      <c r="I468">
        <v>2793</v>
      </c>
      <c r="K468" t="s">
        <v>37</v>
      </c>
      <c r="L468">
        <v>2793</v>
      </c>
      <c r="N468" t="s">
        <v>37</v>
      </c>
      <c r="O468" t="str">
        <f t="shared" si="7"/>
        <v>Tg(sox10:mrfp)</v>
      </c>
    </row>
    <row r="469" spans="1:15" x14ac:dyDescent="0.3">
      <c r="A469">
        <v>4567</v>
      </c>
      <c r="B469">
        <v>43338</v>
      </c>
      <c r="D469" t="s">
        <v>464</v>
      </c>
      <c r="G469">
        <v>60</v>
      </c>
      <c r="H469" t="s">
        <v>379</v>
      </c>
      <c r="I469">
        <v>4208</v>
      </c>
      <c r="K469" t="s">
        <v>464</v>
      </c>
      <c r="L469">
        <v>4208</v>
      </c>
      <c r="N469" t="s">
        <v>464</v>
      </c>
      <c r="O469" t="str">
        <f t="shared" si="7"/>
        <v>Tg(gfap:egfp)</v>
      </c>
    </row>
    <row r="470" spans="1:15" x14ac:dyDescent="0.3">
      <c r="A470">
        <v>4568</v>
      </c>
      <c r="B470">
        <v>43339</v>
      </c>
      <c r="C470" t="s">
        <v>465</v>
      </c>
      <c r="G470">
        <v>80</v>
      </c>
      <c r="H470" t="s">
        <v>114</v>
      </c>
      <c r="I470">
        <v>4194</v>
      </c>
      <c r="J470" t="s">
        <v>12</v>
      </c>
      <c r="L470">
        <v>4194</v>
      </c>
      <c r="M470" t="s">
        <v>12</v>
      </c>
      <c r="O470" t="str">
        <f t="shared" si="7"/>
        <v>crip3 CRISPR F0</v>
      </c>
    </row>
    <row r="471" spans="1:15" x14ac:dyDescent="0.3">
      <c r="A471">
        <v>4569</v>
      </c>
      <c r="B471">
        <v>43344</v>
      </c>
      <c r="C471" t="s">
        <v>461</v>
      </c>
      <c r="D471" t="s">
        <v>372</v>
      </c>
      <c r="G471">
        <v>94</v>
      </c>
      <c r="H471" t="s">
        <v>13</v>
      </c>
      <c r="I471">
        <v>4486</v>
      </c>
      <c r="J471" t="s">
        <v>441</v>
      </c>
      <c r="L471">
        <v>4486</v>
      </c>
      <c r="M471" t="s">
        <v>441</v>
      </c>
      <c r="O471" t="str">
        <f t="shared" si="7"/>
        <v>nf1b-/-==Ki(eab2:AG)</v>
      </c>
    </row>
    <row r="472" spans="1:15" x14ac:dyDescent="0.3">
      <c r="A472">
        <v>4570</v>
      </c>
      <c r="B472">
        <v>43341</v>
      </c>
      <c r="C472" t="s">
        <v>466</v>
      </c>
      <c r="G472">
        <v>30</v>
      </c>
      <c r="H472" t="s">
        <v>114</v>
      </c>
      <c r="I472">
        <v>2173</v>
      </c>
      <c r="J472" t="s">
        <v>467</v>
      </c>
      <c r="L472">
        <v>4210</v>
      </c>
      <c r="M472" t="s">
        <v>85</v>
      </c>
      <c r="O472" t="str">
        <f t="shared" si="7"/>
        <v>cal vu69+/+;+/-</v>
      </c>
    </row>
    <row r="473" spans="1:15" x14ac:dyDescent="0.3">
      <c r="A473">
        <v>4571</v>
      </c>
      <c r="B473">
        <v>43341</v>
      </c>
      <c r="C473" t="s">
        <v>466</v>
      </c>
      <c r="D473" t="s">
        <v>468</v>
      </c>
      <c r="E473" t="s">
        <v>469</v>
      </c>
      <c r="G473">
        <v>100</v>
      </c>
      <c r="H473" t="s">
        <v>114</v>
      </c>
      <c r="I473">
        <v>2161</v>
      </c>
      <c r="J473" t="s">
        <v>467</v>
      </c>
      <c r="K473" t="s">
        <v>470</v>
      </c>
      <c r="L473">
        <v>4210</v>
      </c>
      <c r="M473" t="s">
        <v>85</v>
      </c>
      <c r="O473" t="str">
        <f t="shared" si="7"/>
        <v>cal vu69+/+;+/-==Tg(olig2:EGFP)==Tg(aldoca:mcherry)</v>
      </c>
    </row>
    <row r="474" spans="1:15" x14ac:dyDescent="0.3">
      <c r="A474">
        <v>4572</v>
      </c>
      <c r="B474">
        <v>43341</v>
      </c>
      <c r="C474" t="s">
        <v>471</v>
      </c>
      <c r="G474">
        <v>40</v>
      </c>
      <c r="H474" t="s">
        <v>114</v>
      </c>
      <c r="I474">
        <v>4210</v>
      </c>
      <c r="J474" t="s">
        <v>85</v>
      </c>
      <c r="L474">
        <v>4210</v>
      </c>
      <c r="M474" t="s">
        <v>85</v>
      </c>
      <c r="O474" t="str">
        <f t="shared" si="7"/>
        <v>ctr1 CRISPR F0</v>
      </c>
    </row>
    <row r="475" spans="1:15" x14ac:dyDescent="0.3">
      <c r="A475">
        <v>4573</v>
      </c>
      <c r="B475">
        <v>43343</v>
      </c>
      <c r="D475" t="s">
        <v>472</v>
      </c>
      <c r="G475">
        <v>80</v>
      </c>
      <c r="H475" t="s">
        <v>50</v>
      </c>
      <c r="I475" t="s">
        <v>436</v>
      </c>
      <c r="O475" t="str">
        <f t="shared" si="7"/>
        <v>Tg(hsp70l:Dkk1b-GFP)w32t</v>
      </c>
    </row>
    <row r="476" spans="1:15" x14ac:dyDescent="0.3">
      <c r="A476">
        <v>4574</v>
      </c>
      <c r="B476">
        <v>43343</v>
      </c>
      <c r="D476" t="s">
        <v>473</v>
      </c>
      <c r="G476">
        <v>30</v>
      </c>
      <c r="H476" t="s">
        <v>50</v>
      </c>
      <c r="I476" t="s">
        <v>436</v>
      </c>
      <c r="O476" t="str">
        <f t="shared" si="7"/>
        <v>Tg(7xTCF-Xla.Siam:nls-mCherry)ia5</v>
      </c>
    </row>
    <row r="477" spans="1:15" x14ac:dyDescent="0.3">
      <c r="A477">
        <v>4575</v>
      </c>
      <c r="B477">
        <v>43343</v>
      </c>
      <c r="D477" t="s">
        <v>473</v>
      </c>
      <c r="G477">
        <v>30</v>
      </c>
      <c r="H477" t="s">
        <v>50</v>
      </c>
      <c r="I477" t="s">
        <v>436</v>
      </c>
      <c r="O477" t="str">
        <f t="shared" si="7"/>
        <v>Tg(7xTCF-Xla.Siam:nls-mCherry)ia5</v>
      </c>
    </row>
    <row r="478" spans="1:15" x14ac:dyDescent="0.3">
      <c r="A478">
        <v>4576</v>
      </c>
      <c r="B478">
        <v>43343</v>
      </c>
      <c r="D478" t="s">
        <v>474</v>
      </c>
      <c r="E478" t="s">
        <v>475</v>
      </c>
      <c r="G478">
        <v>15</v>
      </c>
      <c r="H478" t="s">
        <v>379</v>
      </c>
      <c r="O478" t="str">
        <f t="shared" si="7"/>
        <v>Tg(neuroD:gal4);(cmlc2:egfp)==Tg(uas:iGluSnFr)</v>
      </c>
    </row>
    <row r="479" spans="1:15" x14ac:dyDescent="0.3">
      <c r="A479">
        <v>4577</v>
      </c>
      <c r="B479">
        <v>43351</v>
      </c>
      <c r="C479" t="s">
        <v>461</v>
      </c>
      <c r="D479" t="s">
        <v>373</v>
      </c>
      <c r="G479">
        <v>130</v>
      </c>
      <c r="H479" t="s">
        <v>13</v>
      </c>
      <c r="I479">
        <v>4486</v>
      </c>
      <c r="J479" t="s">
        <v>441</v>
      </c>
      <c r="L479">
        <v>4486</v>
      </c>
      <c r="M479" t="s">
        <v>441</v>
      </c>
      <c r="O479" t="str">
        <f t="shared" si="7"/>
        <v>nf1b-/-==Ki(eab2:GA)</v>
      </c>
    </row>
    <row r="480" spans="1:15" x14ac:dyDescent="0.3">
      <c r="A480">
        <v>4578</v>
      </c>
      <c r="B480">
        <v>43351</v>
      </c>
      <c r="D480" t="s">
        <v>360</v>
      </c>
      <c r="G480">
        <v>35</v>
      </c>
      <c r="H480" t="s">
        <v>13</v>
      </c>
      <c r="O480" t="str">
        <f t="shared" si="7"/>
        <v>Ki(eab2:AA)</v>
      </c>
    </row>
    <row r="481" spans="1:15" x14ac:dyDescent="0.3">
      <c r="A481">
        <v>4579</v>
      </c>
      <c r="B481">
        <v>43351</v>
      </c>
      <c r="D481" t="s">
        <v>359</v>
      </c>
      <c r="G481">
        <v>65</v>
      </c>
      <c r="H481" t="s">
        <v>13</v>
      </c>
      <c r="O481" t="str">
        <f t="shared" si="7"/>
        <v>Ki(eab2:GG)</v>
      </c>
    </row>
    <row r="482" spans="1:15" x14ac:dyDescent="0.3">
      <c r="A482">
        <v>4580</v>
      </c>
      <c r="B482">
        <v>43348</v>
      </c>
      <c r="D482" t="s">
        <v>297</v>
      </c>
      <c r="E482" t="s">
        <v>476</v>
      </c>
      <c r="F482" t="s">
        <v>477</v>
      </c>
      <c r="G482">
        <v>42</v>
      </c>
      <c r="H482" t="s">
        <v>33</v>
      </c>
      <c r="I482">
        <v>4276</v>
      </c>
      <c r="K482" t="s">
        <v>297</v>
      </c>
      <c r="L482">
        <v>4503</v>
      </c>
      <c r="N482" t="s">
        <v>478</v>
      </c>
      <c r="O482" t="str">
        <f t="shared" si="7"/>
        <v>Tg(sox10:TagRFP)==Tg(bact:Gal4) founder #1 -/+ / -/-==Tg(pBH-UAS:secA5-YFP) -/+ / -/-</v>
      </c>
    </row>
    <row r="483" spans="1:15" x14ac:dyDescent="0.3">
      <c r="A483">
        <v>4581</v>
      </c>
      <c r="B483">
        <v>43349</v>
      </c>
      <c r="C483" t="s">
        <v>479</v>
      </c>
      <c r="G483">
        <v>30</v>
      </c>
      <c r="H483" t="s">
        <v>251</v>
      </c>
      <c r="I483">
        <v>4473</v>
      </c>
      <c r="J483" t="s">
        <v>12</v>
      </c>
      <c r="L483">
        <v>4473</v>
      </c>
      <c r="M483" t="s">
        <v>12</v>
      </c>
      <c r="O483" t="str">
        <f t="shared" si="7"/>
        <v>cd59 CRISPR F0 sgRNA #1 (AB*)</v>
      </c>
    </row>
    <row r="484" spans="1:15" x14ac:dyDescent="0.3">
      <c r="A484">
        <v>4582</v>
      </c>
      <c r="B484">
        <v>43348</v>
      </c>
      <c r="D484" t="s">
        <v>480</v>
      </c>
      <c r="G484">
        <v>40</v>
      </c>
      <c r="H484" t="s">
        <v>50</v>
      </c>
      <c r="I484">
        <v>4276</v>
      </c>
      <c r="K484" t="s">
        <v>297</v>
      </c>
      <c r="N484" t="s">
        <v>180</v>
      </c>
      <c r="O484" t="str">
        <f t="shared" si="7"/>
        <v>tg(sox10:tagRFP)</v>
      </c>
    </row>
    <row r="485" spans="1:15" x14ac:dyDescent="0.3">
      <c r="A485">
        <v>4583</v>
      </c>
      <c r="B485">
        <v>43348</v>
      </c>
      <c r="D485" t="s">
        <v>480</v>
      </c>
      <c r="E485" t="s">
        <v>180</v>
      </c>
      <c r="G485">
        <v>50</v>
      </c>
      <c r="H485" t="s">
        <v>50</v>
      </c>
      <c r="I485">
        <v>4276</v>
      </c>
      <c r="K485" t="s">
        <v>297</v>
      </c>
      <c r="N485" t="s">
        <v>180</v>
      </c>
      <c r="O485" t="str">
        <f t="shared" si="7"/>
        <v>tg(sox10:tagRFP)==tg(mbp:egfp-caax)</v>
      </c>
    </row>
    <row r="486" spans="1:15" x14ac:dyDescent="0.3">
      <c r="A486">
        <v>4584</v>
      </c>
      <c r="B486">
        <v>43348</v>
      </c>
      <c r="D486" t="s">
        <v>180</v>
      </c>
      <c r="G486">
        <v>40</v>
      </c>
      <c r="H486" t="s">
        <v>50</v>
      </c>
      <c r="I486">
        <v>4276</v>
      </c>
      <c r="K486" t="s">
        <v>297</v>
      </c>
      <c r="N486" t="s">
        <v>180</v>
      </c>
      <c r="O486" t="str">
        <f t="shared" si="7"/>
        <v>tg(mbp:egfp-caax)</v>
      </c>
    </row>
    <row r="487" spans="1:15" x14ac:dyDescent="0.3">
      <c r="A487">
        <v>4585</v>
      </c>
      <c r="B487">
        <v>43349</v>
      </c>
      <c r="D487" t="s">
        <v>481</v>
      </c>
      <c r="G487">
        <v>30</v>
      </c>
      <c r="H487" t="s">
        <v>379</v>
      </c>
      <c r="I487">
        <v>4196</v>
      </c>
      <c r="J487" t="s">
        <v>12</v>
      </c>
      <c r="L487">
        <v>4196</v>
      </c>
      <c r="M487" t="s">
        <v>12</v>
      </c>
      <c r="O487" t="str">
        <f t="shared" si="7"/>
        <v>Tg(sox10:RCaMP1h)</v>
      </c>
    </row>
    <row r="488" spans="1:15" x14ac:dyDescent="0.3">
      <c r="A488">
        <v>4586</v>
      </c>
      <c r="B488">
        <v>43348</v>
      </c>
      <c r="D488" t="s">
        <v>198</v>
      </c>
      <c r="E488" t="s">
        <v>482</v>
      </c>
      <c r="F488" t="s">
        <v>483</v>
      </c>
      <c r="G488">
        <v>4</v>
      </c>
      <c r="H488" t="s">
        <v>108</v>
      </c>
      <c r="I488">
        <v>4218</v>
      </c>
      <c r="K488" t="s">
        <v>484</v>
      </c>
      <c r="L488">
        <v>4218</v>
      </c>
      <c r="N488" t="s">
        <v>484</v>
      </c>
      <c r="O488" t="str">
        <f t="shared" si="7"/>
        <v>tg(cmcl2:gfp)==Tg(nkx2.2a:gal4)==Tg(UAS:NTR-mcherry)</v>
      </c>
    </row>
    <row r="489" spans="1:15" x14ac:dyDescent="0.3">
      <c r="A489">
        <v>4587</v>
      </c>
      <c r="B489">
        <v>43353</v>
      </c>
      <c r="C489" t="s">
        <v>485</v>
      </c>
      <c r="D489" t="s">
        <v>463</v>
      </c>
      <c r="G489">
        <v>30</v>
      </c>
      <c r="H489" t="s">
        <v>251</v>
      </c>
      <c r="I489">
        <v>4246</v>
      </c>
      <c r="K489" t="s">
        <v>486</v>
      </c>
      <c r="L489">
        <v>4246</v>
      </c>
      <c r="N489" t="s">
        <v>486</v>
      </c>
      <c r="O489" t="str">
        <f t="shared" si="7"/>
        <v>cd59 CRISPR F0 sgRNA #1 ==Tg(sox10:meGFP)</v>
      </c>
    </row>
    <row r="490" spans="1:15" x14ac:dyDescent="0.3">
      <c r="A490">
        <v>4588</v>
      </c>
      <c r="B490">
        <v>43353</v>
      </c>
      <c r="C490" t="s">
        <v>485</v>
      </c>
      <c r="D490" t="s">
        <v>487</v>
      </c>
      <c r="G490">
        <v>100</v>
      </c>
      <c r="H490" t="s">
        <v>251</v>
      </c>
      <c r="I490">
        <v>4112</v>
      </c>
      <c r="K490" t="s">
        <v>487</v>
      </c>
      <c r="L490">
        <v>4112</v>
      </c>
      <c r="N490" t="s">
        <v>487</v>
      </c>
      <c r="O490" t="str">
        <f t="shared" si="7"/>
        <v>cd59 CRISPR F0 sgRNA #1 ==tg(olig2:eGFP)</v>
      </c>
    </row>
    <row r="491" spans="1:15" x14ac:dyDescent="0.3">
      <c r="A491">
        <v>4589</v>
      </c>
      <c r="B491">
        <v>43353</v>
      </c>
      <c r="C491" t="s">
        <v>479</v>
      </c>
      <c r="G491">
        <v>50</v>
      </c>
      <c r="H491" t="s">
        <v>251</v>
      </c>
      <c r="I491" t="s">
        <v>488</v>
      </c>
      <c r="J491" t="s">
        <v>12</v>
      </c>
      <c r="L491" t="s">
        <v>488</v>
      </c>
      <c r="M491" t="s">
        <v>12</v>
      </c>
      <c r="O491" t="str">
        <f t="shared" si="7"/>
        <v>cd59 CRISPR F0 sgRNA #1 (AB*)</v>
      </c>
    </row>
    <row r="492" spans="1:15" x14ac:dyDescent="0.3">
      <c r="A492">
        <v>4590</v>
      </c>
      <c r="B492">
        <v>43357</v>
      </c>
      <c r="D492" t="s">
        <v>360</v>
      </c>
      <c r="G492">
        <v>35</v>
      </c>
      <c r="H492" t="s">
        <v>13</v>
      </c>
      <c r="O492" t="str">
        <f t="shared" si="7"/>
        <v>Ki(eab2:AA)</v>
      </c>
    </row>
    <row r="493" spans="1:15" x14ac:dyDescent="0.3">
      <c r="A493">
        <v>4591</v>
      </c>
      <c r="B493">
        <v>43357</v>
      </c>
      <c r="C493" t="s">
        <v>461</v>
      </c>
      <c r="D493" t="s">
        <v>372</v>
      </c>
      <c r="G493">
        <v>110</v>
      </c>
      <c r="H493" t="s">
        <v>13</v>
      </c>
      <c r="I493">
        <v>4486</v>
      </c>
      <c r="J493" t="s">
        <v>441</v>
      </c>
      <c r="L493">
        <v>4486</v>
      </c>
      <c r="M493" t="s">
        <v>441</v>
      </c>
      <c r="O493" t="str">
        <f t="shared" si="7"/>
        <v>nf1b-/-==Ki(eab2:AG)</v>
      </c>
    </row>
    <row r="494" spans="1:15" x14ac:dyDescent="0.3">
      <c r="A494">
        <v>4592</v>
      </c>
      <c r="B494">
        <v>43357</v>
      </c>
      <c r="D494" t="s">
        <v>489</v>
      </c>
      <c r="G494">
        <v>8</v>
      </c>
      <c r="H494" t="s">
        <v>13</v>
      </c>
      <c r="O494" t="str">
        <f t="shared" si="7"/>
        <v>Tg(zubi:zFlp)uva18 F1</v>
      </c>
    </row>
    <row r="495" spans="1:15" x14ac:dyDescent="0.3">
      <c r="A495">
        <v>4593</v>
      </c>
      <c r="B495">
        <v>43357</v>
      </c>
      <c r="D495" t="s">
        <v>490</v>
      </c>
      <c r="G495">
        <v>17</v>
      </c>
      <c r="H495" t="s">
        <v>13</v>
      </c>
      <c r="O495" t="str">
        <f t="shared" si="7"/>
        <v>Tg(zubi:zFlp)uva17 F1</v>
      </c>
    </row>
    <row r="496" spans="1:15" x14ac:dyDescent="0.3">
      <c r="A496">
        <v>4594</v>
      </c>
      <c r="B496">
        <v>43357</v>
      </c>
      <c r="D496" t="s">
        <v>491</v>
      </c>
      <c r="G496">
        <v>45</v>
      </c>
      <c r="H496" t="s">
        <v>13</v>
      </c>
      <c r="O496" t="str">
        <f t="shared" si="7"/>
        <v>Tg(eab2:FRT-GFP-FRT-mApple)uva14 F1</v>
      </c>
    </row>
    <row r="497" spans="1:15" x14ac:dyDescent="0.3">
      <c r="A497">
        <v>4595</v>
      </c>
      <c r="B497">
        <v>43357</v>
      </c>
      <c r="D497" t="s">
        <v>492</v>
      </c>
      <c r="G497">
        <v>37</v>
      </c>
      <c r="H497" t="s">
        <v>13</v>
      </c>
      <c r="O497" t="str">
        <f t="shared" si="7"/>
        <v>Tg(sox10:zFlp)uva10 F1</v>
      </c>
    </row>
    <row r="498" spans="1:15" x14ac:dyDescent="0.3">
      <c r="A498">
        <v>4596</v>
      </c>
      <c r="B498">
        <v>43357</v>
      </c>
      <c r="D498" t="s">
        <v>493</v>
      </c>
      <c r="G498">
        <v>39</v>
      </c>
      <c r="H498" t="s">
        <v>13</v>
      </c>
      <c r="O498" t="str">
        <f t="shared" si="7"/>
        <v>Tg(eab2:zFlp)uva12 F1</v>
      </c>
    </row>
    <row r="499" spans="1:15" x14ac:dyDescent="0.3">
      <c r="A499">
        <v>4597</v>
      </c>
      <c r="B499">
        <v>43357</v>
      </c>
      <c r="D499" t="s">
        <v>494</v>
      </c>
      <c r="G499">
        <v>50</v>
      </c>
      <c r="H499" t="s">
        <v>13</v>
      </c>
      <c r="O499" t="str">
        <f t="shared" si="7"/>
        <v>Tg(eab2:zFlp)uva13 F1</v>
      </c>
    </row>
    <row r="500" spans="1:15" x14ac:dyDescent="0.3">
      <c r="A500">
        <v>4598</v>
      </c>
      <c r="B500">
        <v>43354</v>
      </c>
      <c r="C500" t="s">
        <v>495</v>
      </c>
      <c r="G500">
        <v>80</v>
      </c>
      <c r="H500" t="s">
        <v>114</v>
      </c>
      <c r="I500" t="s">
        <v>496</v>
      </c>
      <c r="J500" t="s">
        <v>497</v>
      </c>
      <c r="L500" t="s">
        <v>496</v>
      </c>
      <c r="M500" t="s">
        <v>497</v>
      </c>
      <c r="O500" t="str">
        <f t="shared" si="7"/>
        <v>sco2+/+;+/-</v>
      </c>
    </row>
    <row r="501" spans="1:15" x14ac:dyDescent="0.3">
      <c r="A501">
        <v>4599</v>
      </c>
      <c r="B501">
        <v>43354</v>
      </c>
      <c r="C501" t="s">
        <v>465</v>
      </c>
      <c r="D501" t="s">
        <v>468</v>
      </c>
      <c r="G501">
        <v>25</v>
      </c>
      <c r="H501" t="s">
        <v>114</v>
      </c>
      <c r="I501">
        <v>4112</v>
      </c>
      <c r="K501" t="s">
        <v>468</v>
      </c>
      <c r="L501">
        <v>4112</v>
      </c>
      <c r="N501" t="s">
        <v>468</v>
      </c>
      <c r="O501" t="str">
        <f t="shared" si="7"/>
        <v>crip3 CRISPR F0==Tg(olig2:EGFP)</v>
      </c>
    </row>
    <row r="502" spans="1:15" x14ac:dyDescent="0.3">
      <c r="A502">
        <v>4600</v>
      </c>
      <c r="B502">
        <v>43353</v>
      </c>
      <c r="D502" t="s">
        <v>498</v>
      </c>
      <c r="G502">
        <v>10</v>
      </c>
      <c r="H502" t="s">
        <v>379</v>
      </c>
      <c r="I502">
        <v>2985</v>
      </c>
      <c r="J502" t="s">
        <v>12</v>
      </c>
      <c r="L502">
        <v>2985</v>
      </c>
      <c r="M502" t="s">
        <v>499</v>
      </c>
      <c r="O502" t="str">
        <f t="shared" si="7"/>
        <v>Tg(sox10:iGluSnFr)</v>
      </c>
    </row>
    <row r="503" spans="1:15" x14ac:dyDescent="0.3">
      <c r="A503">
        <v>4601</v>
      </c>
      <c r="B503">
        <v>43355</v>
      </c>
      <c r="D503" t="s">
        <v>500</v>
      </c>
      <c r="G503">
        <v>40</v>
      </c>
      <c r="H503" t="s">
        <v>114</v>
      </c>
      <c r="I503">
        <v>4210</v>
      </c>
      <c r="J503" t="s">
        <v>215</v>
      </c>
      <c r="L503">
        <v>2159</v>
      </c>
      <c r="M503" t="s">
        <v>500</v>
      </c>
      <c r="O503" t="str">
        <f t="shared" si="7"/>
        <v>Tg(zebrabow)</v>
      </c>
    </row>
    <row r="504" spans="1:15" x14ac:dyDescent="0.3">
      <c r="A504">
        <v>4602</v>
      </c>
      <c r="B504">
        <v>43355</v>
      </c>
      <c r="D504" t="s">
        <v>501</v>
      </c>
      <c r="G504">
        <v>50</v>
      </c>
      <c r="H504" t="s">
        <v>114</v>
      </c>
      <c r="I504">
        <v>4253</v>
      </c>
      <c r="J504" t="s">
        <v>12</v>
      </c>
      <c r="L504">
        <v>4253</v>
      </c>
      <c r="M504" t="s">
        <v>12</v>
      </c>
      <c r="O504" t="str">
        <f t="shared" si="7"/>
        <v>Tg(crip3(3.1):EGFP(CAAX) F0</v>
      </c>
    </row>
    <row r="505" spans="1:15" x14ac:dyDescent="0.3">
      <c r="A505">
        <v>4603</v>
      </c>
      <c r="B505">
        <v>43355</v>
      </c>
      <c r="D505" t="s">
        <v>502</v>
      </c>
      <c r="G505">
        <v>60</v>
      </c>
      <c r="H505" t="s">
        <v>114</v>
      </c>
      <c r="I505">
        <v>4253</v>
      </c>
      <c r="J505" t="s">
        <v>12</v>
      </c>
      <c r="L505">
        <v>4253</v>
      </c>
      <c r="M505" t="s">
        <v>12</v>
      </c>
      <c r="O505" t="str">
        <f t="shared" si="7"/>
        <v>Tg(crip3(3.1):mcherry(CAAX) F0</v>
      </c>
    </row>
    <row r="506" spans="1:15" x14ac:dyDescent="0.3">
      <c r="A506">
        <v>4604</v>
      </c>
      <c r="B506">
        <v>43355</v>
      </c>
      <c r="D506" t="s">
        <v>54</v>
      </c>
      <c r="E506" t="s">
        <v>57</v>
      </c>
      <c r="G506">
        <v>50</v>
      </c>
      <c r="H506" t="s">
        <v>50</v>
      </c>
      <c r="I506">
        <v>4256</v>
      </c>
      <c r="K506" t="s">
        <v>54</v>
      </c>
      <c r="L506">
        <v>4236</v>
      </c>
      <c r="N506" t="s">
        <v>57</v>
      </c>
      <c r="O506" t="str">
        <f t="shared" si="7"/>
        <v>tg(hb9:tagYFP-NTR)==tg(sox10:eos)</v>
      </c>
    </row>
    <row r="507" spans="1:15" x14ac:dyDescent="0.3">
      <c r="A507">
        <v>4605</v>
      </c>
      <c r="B507">
        <v>43355</v>
      </c>
      <c r="D507" t="s">
        <v>54</v>
      </c>
      <c r="G507">
        <v>100</v>
      </c>
      <c r="H507" t="s">
        <v>50</v>
      </c>
      <c r="I507">
        <v>4256</v>
      </c>
      <c r="K507" t="s">
        <v>54</v>
      </c>
      <c r="L507">
        <v>4236</v>
      </c>
      <c r="N507" t="s">
        <v>57</v>
      </c>
      <c r="O507" t="str">
        <f t="shared" si="7"/>
        <v>tg(hb9:tagYFP-NTR)</v>
      </c>
    </row>
    <row r="508" spans="1:15" x14ac:dyDescent="0.3">
      <c r="A508">
        <v>4606</v>
      </c>
      <c r="B508">
        <v>43358</v>
      </c>
      <c r="C508" t="s">
        <v>503</v>
      </c>
      <c r="G508">
        <v>60</v>
      </c>
      <c r="H508" t="s">
        <v>50</v>
      </c>
      <c r="I508">
        <v>4236</v>
      </c>
      <c r="K508" t="s">
        <v>57</v>
      </c>
      <c r="L508">
        <v>4516</v>
      </c>
      <c r="M508" t="s">
        <v>504</v>
      </c>
      <c r="O508" t="str">
        <f t="shared" si="7"/>
        <v>wif1 f1</v>
      </c>
    </row>
    <row r="509" spans="1:15" x14ac:dyDescent="0.3">
      <c r="A509">
        <v>4607</v>
      </c>
      <c r="B509">
        <v>43358</v>
      </c>
      <c r="C509" t="s">
        <v>503</v>
      </c>
      <c r="D509" t="s">
        <v>57</v>
      </c>
      <c r="G509">
        <v>25</v>
      </c>
      <c r="H509" t="s">
        <v>50</v>
      </c>
      <c r="I509">
        <v>4236</v>
      </c>
      <c r="K509" t="s">
        <v>57</v>
      </c>
      <c r="L509">
        <v>4516</v>
      </c>
      <c r="M509" t="s">
        <v>504</v>
      </c>
      <c r="O509" t="str">
        <f t="shared" si="7"/>
        <v>wif1 f1==tg(sox10:eos)</v>
      </c>
    </row>
    <row r="510" spans="1:15" x14ac:dyDescent="0.3">
      <c r="A510">
        <v>4608</v>
      </c>
      <c r="B510">
        <v>43358</v>
      </c>
      <c r="C510" t="s">
        <v>503</v>
      </c>
      <c r="D510" t="s">
        <v>183</v>
      </c>
      <c r="G510">
        <v>25</v>
      </c>
      <c r="H510" t="s">
        <v>50</v>
      </c>
      <c r="I510">
        <v>4179</v>
      </c>
      <c r="K510" t="s">
        <v>183</v>
      </c>
      <c r="L510">
        <v>4516</v>
      </c>
      <c r="M510" t="s">
        <v>504</v>
      </c>
      <c r="O510" t="str">
        <f t="shared" si="7"/>
        <v>wif1 f1==tg(olig2:egfp)</v>
      </c>
    </row>
    <row r="511" spans="1:15" x14ac:dyDescent="0.3">
      <c r="A511">
        <v>4609</v>
      </c>
      <c r="B511">
        <v>43356</v>
      </c>
      <c r="D511" t="s">
        <v>505</v>
      </c>
      <c r="E511" t="s">
        <v>506</v>
      </c>
      <c r="F511" t="s">
        <v>507</v>
      </c>
      <c r="G511">
        <v>6</v>
      </c>
      <c r="H511" t="s">
        <v>108</v>
      </c>
      <c r="I511">
        <v>4218</v>
      </c>
      <c r="K511" t="s">
        <v>508</v>
      </c>
      <c r="L511">
        <v>4218</v>
      </c>
      <c r="N511" t="s">
        <v>508</v>
      </c>
      <c r="O511" t="str">
        <f t="shared" si="7"/>
        <v>tg(nkx2.2a:gal4)==tg(cmcl2:egfp)==tg(UAS:NTR-mcherry)</v>
      </c>
    </row>
    <row r="512" spans="1:15" x14ac:dyDescent="0.3">
      <c r="A512">
        <v>4610</v>
      </c>
      <c r="B512">
        <v>43358</v>
      </c>
      <c r="D512" t="s">
        <v>297</v>
      </c>
      <c r="E512" t="s">
        <v>509</v>
      </c>
      <c r="F512" t="s">
        <v>477</v>
      </c>
      <c r="G512">
        <v>25</v>
      </c>
      <c r="H512" t="s">
        <v>33</v>
      </c>
      <c r="I512">
        <v>4276</v>
      </c>
      <c r="K512" t="s">
        <v>297</v>
      </c>
      <c r="L512">
        <v>4503</v>
      </c>
      <c r="N512" t="s">
        <v>510</v>
      </c>
      <c r="O512" t="str">
        <f t="shared" si="7"/>
        <v>Tg(sox10:TagRFP)==Tg(bact:Gal4) founder #1 -/+ -/-==Tg(pBH-UAS:secA5-YFP) -/+ / -/-</v>
      </c>
    </row>
    <row r="513" spans="1:15" x14ac:dyDescent="0.3">
      <c r="A513">
        <v>4611</v>
      </c>
      <c r="B513">
        <v>43358</v>
      </c>
      <c r="D513" t="s">
        <v>297</v>
      </c>
      <c r="G513">
        <v>30</v>
      </c>
      <c r="H513" t="s">
        <v>33</v>
      </c>
      <c r="I513">
        <v>4197</v>
      </c>
      <c r="K513" t="s">
        <v>85</v>
      </c>
      <c r="L513">
        <v>4276</v>
      </c>
      <c r="N513" t="s">
        <v>297</v>
      </c>
      <c r="O513" t="str">
        <f t="shared" si="7"/>
        <v>Tg(sox10:TagRFP)</v>
      </c>
    </row>
    <row r="514" spans="1:15" x14ac:dyDescent="0.3">
      <c r="A514">
        <v>4612</v>
      </c>
      <c r="B514">
        <v>43359</v>
      </c>
      <c r="D514" t="s">
        <v>464</v>
      </c>
      <c r="G514">
        <v>40</v>
      </c>
      <c r="H514" t="s">
        <v>114</v>
      </c>
      <c r="I514">
        <v>4205</v>
      </c>
      <c r="K514" t="s">
        <v>37</v>
      </c>
      <c r="L514">
        <v>4252</v>
      </c>
      <c r="N514" t="s">
        <v>464</v>
      </c>
      <c r="O514" t="str">
        <f t="shared" si="7"/>
        <v>Tg(gfap:egfp)</v>
      </c>
    </row>
    <row r="515" spans="1:15" x14ac:dyDescent="0.3">
      <c r="A515">
        <v>4613</v>
      </c>
      <c r="B515">
        <v>43359</v>
      </c>
      <c r="D515" t="s">
        <v>37</v>
      </c>
      <c r="G515">
        <v>40</v>
      </c>
      <c r="H515" t="s">
        <v>114</v>
      </c>
      <c r="I515">
        <v>4205</v>
      </c>
      <c r="K515" t="s">
        <v>37</v>
      </c>
      <c r="L515">
        <v>4252</v>
      </c>
      <c r="N515" t="s">
        <v>464</v>
      </c>
      <c r="O515" t="str">
        <f t="shared" ref="O515:O578" si="8">TEXTJOIN("==",TRUE,C515:F515)</f>
        <v>Tg(sox10:mrfp)</v>
      </c>
    </row>
    <row r="516" spans="1:15" x14ac:dyDescent="0.3">
      <c r="A516">
        <v>4614</v>
      </c>
      <c r="B516">
        <v>43359</v>
      </c>
      <c r="D516" t="s">
        <v>464</v>
      </c>
      <c r="E516" t="s">
        <v>37</v>
      </c>
      <c r="G516">
        <v>30</v>
      </c>
      <c r="H516" t="s">
        <v>379</v>
      </c>
      <c r="I516">
        <v>4205</v>
      </c>
      <c r="K516" t="s">
        <v>37</v>
      </c>
      <c r="L516">
        <v>4252</v>
      </c>
      <c r="N516" t="s">
        <v>464</v>
      </c>
      <c r="O516" t="str">
        <f t="shared" si="8"/>
        <v>Tg(gfap:egfp)==Tg(sox10:mrfp)</v>
      </c>
    </row>
    <row r="517" spans="1:15" x14ac:dyDescent="0.3">
      <c r="A517">
        <v>4615</v>
      </c>
      <c r="B517">
        <v>43361</v>
      </c>
      <c r="D517" t="s">
        <v>511</v>
      </c>
      <c r="G517">
        <v>5</v>
      </c>
      <c r="H517" t="s">
        <v>13</v>
      </c>
      <c r="O517" t="str">
        <f t="shared" si="8"/>
        <v>Ki(eab2:AG) F1</v>
      </c>
    </row>
    <row r="518" spans="1:15" x14ac:dyDescent="0.3">
      <c r="A518">
        <v>4616</v>
      </c>
      <c r="B518">
        <v>43360</v>
      </c>
      <c r="C518" t="s">
        <v>466</v>
      </c>
      <c r="G518">
        <v>50</v>
      </c>
      <c r="H518" t="s">
        <v>114</v>
      </c>
      <c r="I518">
        <v>4253</v>
      </c>
      <c r="J518" t="s">
        <v>12</v>
      </c>
      <c r="L518">
        <v>4104</v>
      </c>
      <c r="M518" t="s">
        <v>467</v>
      </c>
      <c r="O518" t="str">
        <f t="shared" si="8"/>
        <v>cal vu69+/+;+/-</v>
      </c>
    </row>
    <row r="519" spans="1:15" x14ac:dyDescent="0.3">
      <c r="A519">
        <v>4617</v>
      </c>
      <c r="B519">
        <v>43361</v>
      </c>
      <c r="C519" t="s">
        <v>485</v>
      </c>
      <c r="D519" t="s">
        <v>512</v>
      </c>
      <c r="G519">
        <v>100</v>
      </c>
      <c r="H519" t="s">
        <v>251</v>
      </c>
      <c r="I519">
        <v>2490</v>
      </c>
      <c r="K519" t="s">
        <v>512</v>
      </c>
      <c r="L519">
        <v>2490</v>
      </c>
      <c r="N519" t="s">
        <v>512</v>
      </c>
      <c r="O519" t="str">
        <f t="shared" si="8"/>
        <v>cd59 CRISPR F0 sgRNA #1 ==Tg(mbp:eGFP-caax)</v>
      </c>
    </row>
    <row r="520" spans="1:15" x14ac:dyDescent="0.3">
      <c r="A520">
        <v>4618</v>
      </c>
      <c r="B520">
        <v>43361</v>
      </c>
      <c r="D520" t="s">
        <v>512</v>
      </c>
      <c r="G520">
        <v>100</v>
      </c>
      <c r="H520" t="s">
        <v>251</v>
      </c>
      <c r="I520">
        <v>2490</v>
      </c>
      <c r="K520" t="s">
        <v>512</v>
      </c>
      <c r="L520">
        <v>2490</v>
      </c>
      <c r="N520" t="s">
        <v>512</v>
      </c>
      <c r="O520" t="str">
        <f t="shared" si="8"/>
        <v>Tg(mbp:eGFP-caax)</v>
      </c>
    </row>
    <row r="521" spans="1:15" x14ac:dyDescent="0.3">
      <c r="A521">
        <v>4619</v>
      </c>
      <c r="B521">
        <v>43361</v>
      </c>
      <c r="D521" t="s">
        <v>329</v>
      </c>
      <c r="G521">
        <v>100</v>
      </c>
      <c r="H521" t="s">
        <v>251</v>
      </c>
      <c r="I521">
        <v>4112</v>
      </c>
      <c r="K521" t="s">
        <v>329</v>
      </c>
      <c r="L521">
        <v>4112</v>
      </c>
      <c r="N521" t="s">
        <v>329</v>
      </c>
      <c r="O521" t="str">
        <f t="shared" si="8"/>
        <v>Tg(olig2:eGFP)</v>
      </c>
    </row>
    <row r="522" spans="1:15" x14ac:dyDescent="0.3">
      <c r="A522">
        <v>4620</v>
      </c>
      <c r="B522">
        <v>43361</v>
      </c>
      <c r="D522" t="s">
        <v>329</v>
      </c>
      <c r="G522">
        <v>100</v>
      </c>
      <c r="H522" t="s">
        <v>251</v>
      </c>
      <c r="I522">
        <v>4112</v>
      </c>
      <c r="K522" t="s">
        <v>329</v>
      </c>
      <c r="L522">
        <v>4112</v>
      </c>
      <c r="N522" t="s">
        <v>329</v>
      </c>
      <c r="O522" t="str">
        <f t="shared" si="8"/>
        <v>Tg(olig2:eGFP)</v>
      </c>
    </row>
    <row r="523" spans="1:15" x14ac:dyDescent="0.3">
      <c r="A523">
        <v>4621</v>
      </c>
      <c r="B523">
        <v>43361</v>
      </c>
      <c r="D523" t="s">
        <v>329</v>
      </c>
      <c r="G523">
        <v>100</v>
      </c>
      <c r="H523" t="s">
        <v>251</v>
      </c>
      <c r="I523">
        <v>4112</v>
      </c>
      <c r="K523" t="s">
        <v>329</v>
      </c>
      <c r="L523">
        <v>4112</v>
      </c>
      <c r="N523" t="s">
        <v>329</v>
      </c>
      <c r="O523" t="str">
        <f t="shared" si="8"/>
        <v>Tg(olig2:eGFP)</v>
      </c>
    </row>
    <row r="524" spans="1:15" x14ac:dyDescent="0.3">
      <c r="A524">
        <v>4622</v>
      </c>
      <c r="B524">
        <v>43361</v>
      </c>
      <c r="D524" t="s">
        <v>329</v>
      </c>
      <c r="G524">
        <v>100</v>
      </c>
      <c r="H524" t="s">
        <v>251</v>
      </c>
      <c r="I524">
        <v>4112</v>
      </c>
      <c r="K524" t="s">
        <v>329</v>
      </c>
      <c r="L524">
        <v>4112</v>
      </c>
      <c r="N524" t="s">
        <v>329</v>
      </c>
      <c r="O524" t="str">
        <f t="shared" si="8"/>
        <v>Tg(olig2:eGFP)</v>
      </c>
    </row>
    <row r="525" spans="1:15" x14ac:dyDescent="0.3">
      <c r="A525">
        <v>4623</v>
      </c>
      <c r="B525">
        <v>43363</v>
      </c>
      <c r="D525" t="s">
        <v>462</v>
      </c>
      <c r="G525">
        <v>100</v>
      </c>
      <c r="H525" t="s">
        <v>298</v>
      </c>
      <c r="I525">
        <v>4384</v>
      </c>
      <c r="K525" t="s">
        <v>462</v>
      </c>
      <c r="L525">
        <v>4384</v>
      </c>
      <c r="N525" t="s">
        <v>462</v>
      </c>
      <c r="O525" t="str">
        <f t="shared" si="8"/>
        <v>Tg(nbt:dsRed)</v>
      </c>
    </row>
    <row r="526" spans="1:15" x14ac:dyDescent="0.3">
      <c r="A526">
        <v>4624</v>
      </c>
      <c r="B526">
        <v>43363</v>
      </c>
      <c r="D526" t="s">
        <v>462</v>
      </c>
      <c r="G526">
        <v>100</v>
      </c>
      <c r="H526" t="s">
        <v>298</v>
      </c>
      <c r="I526">
        <v>4386</v>
      </c>
      <c r="K526" t="s">
        <v>462</v>
      </c>
      <c r="L526">
        <v>4385</v>
      </c>
      <c r="N526" t="s">
        <v>462</v>
      </c>
      <c r="O526" t="str">
        <f t="shared" si="8"/>
        <v>Tg(nbt:dsRed)</v>
      </c>
    </row>
    <row r="527" spans="1:15" x14ac:dyDescent="0.3">
      <c r="A527">
        <v>4625</v>
      </c>
      <c r="B527">
        <v>43363</v>
      </c>
      <c r="D527" t="s">
        <v>385</v>
      </c>
      <c r="G527">
        <v>100</v>
      </c>
      <c r="H527" t="s">
        <v>298</v>
      </c>
      <c r="I527">
        <v>2793</v>
      </c>
      <c r="K527" t="s">
        <v>385</v>
      </c>
      <c r="L527">
        <v>2793</v>
      </c>
      <c r="N527" t="s">
        <v>385</v>
      </c>
      <c r="O527" t="str">
        <f t="shared" si="8"/>
        <v>Tg(sox10:mRFP)</v>
      </c>
    </row>
    <row r="528" spans="1:15" x14ac:dyDescent="0.3">
      <c r="A528">
        <v>4626</v>
      </c>
      <c r="B528">
        <v>43363</v>
      </c>
      <c r="D528" t="s">
        <v>513</v>
      </c>
      <c r="E528" t="s">
        <v>514</v>
      </c>
      <c r="G528">
        <v>15</v>
      </c>
      <c r="H528" t="s">
        <v>379</v>
      </c>
      <c r="I528">
        <v>4458</v>
      </c>
      <c r="K528" t="s">
        <v>513</v>
      </c>
      <c r="L528">
        <v>4458</v>
      </c>
      <c r="N528" t="s">
        <v>513</v>
      </c>
      <c r="O528" t="str">
        <f t="shared" si="8"/>
        <v>Tg(sox10:gal4)(cmlc2:egfp)==Tg(uas:rcamp1h)(cry2:gfp)</v>
      </c>
    </row>
    <row r="529" spans="1:15" x14ac:dyDescent="0.3">
      <c r="A529">
        <v>4627</v>
      </c>
      <c r="B529">
        <v>43363</v>
      </c>
      <c r="D529" t="s">
        <v>513</v>
      </c>
      <c r="E529" t="s">
        <v>515</v>
      </c>
      <c r="G529">
        <v>15</v>
      </c>
      <c r="H529" t="s">
        <v>379</v>
      </c>
      <c r="I529">
        <v>4458</v>
      </c>
      <c r="K529" t="s">
        <v>513</v>
      </c>
      <c r="L529">
        <v>4458</v>
      </c>
      <c r="N529" t="s">
        <v>513</v>
      </c>
      <c r="O529" t="str">
        <f t="shared" si="8"/>
        <v>Tg(sox10:gal4)(cmlc2:egfp)==Tg(uas:iglusnfr)(cry2:gfp)</v>
      </c>
    </row>
    <row r="530" spans="1:15" x14ac:dyDescent="0.3">
      <c r="A530">
        <v>4628</v>
      </c>
      <c r="B530">
        <v>43365</v>
      </c>
      <c r="D530" t="s">
        <v>223</v>
      </c>
      <c r="E530" t="s">
        <v>516</v>
      </c>
      <c r="G530">
        <v>10</v>
      </c>
      <c r="H530" t="s">
        <v>33</v>
      </c>
      <c r="I530">
        <v>4197</v>
      </c>
      <c r="K530" t="s">
        <v>85</v>
      </c>
      <c r="L530">
        <v>4503</v>
      </c>
      <c r="N530" t="s">
        <v>517</v>
      </c>
      <c r="O530" t="str">
        <f t="shared" si="8"/>
        <v>Tg(pBH-UAS:SecA5-YFP)==Tg(bact:Gal4)</v>
      </c>
    </row>
    <row r="531" spans="1:15" x14ac:dyDescent="0.3">
      <c r="A531">
        <v>4629</v>
      </c>
      <c r="B531">
        <v>43365</v>
      </c>
      <c r="D531" t="s">
        <v>297</v>
      </c>
      <c r="G531">
        <v>80</v>
      </c>
      <c r="H531" t="s">
        <v>33</v>
      </c>
      <c r="I531">
        <v>4276</v>
      </c>
      <c r="K531" t="s">
        <v>297</v>
      </c>
      <c r="L531">
        <v>4197</v>
      </c>
      <c r="N531" t="s">
        <v>85</v>
      </c>
      <c r="O531" t="str">
        <f t="shared" si="8"/>
        <v>Tg(sox10:TagRFP)</v>
      </c>
    </row>
    <row r="532" spans="1:15" x14ac:dyDescent="0.3">
      <c r="A532">
        <v>4630</v>
      </c>
      <c r="B532">
        <v>43370</v>
      </c>
      <c r="D532" t="s">
        <v>518</v>
      </c>
      <c r="G532">
        <v>3</v>
      </c>
      <c r="H532" t="s">
        <v>13</v>
      </c>
      <c r="O532" t="str">
        <f t="shared" si="8"/>
        <v>Tg(sox10:zFlp)uva11 F1</v>
      </c>
    </row>
    <row r="533" spans="1:15" x14ac:dyDescent="0.3">
      <c r="A533">
        <v>4631</v>
      </c>
      <c r="B533">
        <v>43370</v>
      </c>
      <c r="D533" t="s">
        <v>519</v>
      </c>
      <c r="G533">
        <v>4</v>
      </c>
      <c r="H533" t="s">
        <v>13</v>
      </c>
      <c r="O533" t="str">
        <f t="shared" si="8"/>
        <v>Tg(eab2:zFlp)uva21 F1</v>
      </c>
    </row>
    <row r="534" spans="1:15" x14ac:dyDescent="0.3">
      <c r="A534">
        <v>4632</v>
      </c>
      <c r="B534">
        <v>43370</v>
      </c>
      <c r="D534" t="s">
        <v>520</v>
      </c>
      <c r="G534">
        <v>3</v>
      </c>
      <c r="H534" t="s">
        <v>13</v>
      </c>
      <c r="O534" t="str">
        <f t="shared" si="8"/>
        <v>Tg(zubi:zFlp)uva19 F1</v>
      </c>
    </row>
    <row r="535" spans="1:15" x14ac:dyDescent="0.3">
      <c r="A535">
        <v>4633</v>
      </c>
      <c r="B535">
        <v>43370</v>
      </c>
      <c r="D535" t="s">
        <v>521</v>
      </c>
      <c r="G535">
        <v>10</v>
      </c>
      <c r="H535" t="s">
        <v>13</v>
      </c>
      <c r="O535" t="str">
        <f t="shared" si="8"/>
        <v>Tg(sox10:zFlp)uva20 F1</v>
      </c>
    </row>
    <row r="536" spans="1:15" x14ac:dyDescent="0.3">
      <c r="A536">
        <v>4634</v>
      </c>
      <c r="B536">
        <v>43370</v>
      </c>
      <c r="D536" t="s">
        <v>522</v>
      </c>
      <c r="G536">
        <v>4</v>
      </c>
      <c r="H536" t="s">
        <v>13</v>
      </c>
      <c r="O536" t="str">
        <f t="shared" si="8"/>
        <v>Tg(eab2:FRT-EGFP-FRT-mApple)uva15 F1</v>
      </c>
    </row>
    <row r="537" spans="1:15" x14ac:dyDescent="0.3">
      <c r="A537">
        <v>4635</v>
      </c>
      <c r="B537">
        <v>43370</v>
      </c>
      <c r="D537" t="s">
        <v>523</v>
      </c>
      <c r="G537">
        <v>100</v>
      </c>
      <c r="H537" t="s">
        <v>251</v>
      </c>
      <c r="I537">
        <v>4151</v>
      </c>
      <c r="K537" t="s">
        <v>523</v>
      </c>
      <c r="L537">
        <v>2490</v>
      </c>
      <c r="N537" t="s">
        <v>524</v>
      </c>
      <c r="O537" t="str">
        <f t="shared" si="8"/>
        <v>Tg(olig2:dsRed)</v>
      </c>
    </row>
    <row r="538" spans="1:15" x14ac:dyDescent="0.3">
      <c r="A538">
        <v>4636</v>
      </c>
      <c r="B538">
        <v>43370</v>
      </c>
      <c r="D538" t="s">
        <v>482</v>
      </c>
      <c r="E538" t="s">
        <v>525</v>
      </c>
      <c r="F538" t="s">
        <v>526</v>
      </c>
      <c r="G538">
        <v>4</v>
      </c>
      <c r="H538" t="s">
        <v>108</v>
      </c>
      <c r="I538">
        <v>4218</v>
      </c>
      <c r="K538" t="s">
        <v>527</v>
      </c>
      <c r="L538">
        <v>4218</v>
      </c>
      <c r="N538" t="s">
        <v>528</v>
      </c>
      <c r="O538" t="str">
        <f t="shared" si="8"/>
        <v>Tg(nkx2.2a:gal4)==tg(cmlc2:EGFP)==tg(UAS:NTR)</v>
      </c>
    </row>
    <row r="539" spans="1:15" x14ac:dyDescent="0.3">
      <c r="A539">
        <v>4637</v>
      </c>
      <c r="B539">
        <v>43370</v>
      </c>
      <c r="D539" t="s">
        <v>161</v>
      </c>
      <c r="E539" t="s">
        <v>207</v>
      </c>
      <c r="G539">
        <v>50</v>
      </c>
      <c r="H539" t="s">
        <v>108</v>
      </c>
      <c r="I539">
        <v>3033</v>
      </c>
      <c r="K539" t="s">
        <v>529</v>
      </c>
      <c r="L539">
        <v>3033</v>
      </c>
      <c r="N539" t="s">
        <v>529</v>
      </c>
      <c r="O539" t="str">
        <f t="shared" si="8"/>
        <v>tg(nkx2.2a:megfp)==tg(olig2:dsred)</v>
      </c>
    </row>
    <row r="540" spans="1:15" x14ac:dyDescent="0.3">
      <c r="A540">
        <v>4638</v>
      </c>
      <c r="B540">
        <v>43375</v>
      </c>
      <c r="D540" t="s">
        <v>530</v>
      </c>
      <c r="G540">
        <v>6</v>
      </c>
      <c r="H540" t="s">
        <v>114</v>
      </c>
      <c r="I540">
        <v>4210</v>
      </c>
      <c r="J540" t="s">
        <v>85</v>
      </c>
      <c r="L540">
        <v>4396</v>
      </c>
      <c r="N540" t="s">
        <v>531</v>
      </c>
      <c r="O540" t="str">
        <f t="shared" si="8"/>
        <v>Tg(crip3(3.1):TagRFP F1</v>
      </c>
    </row>
    <row r="541" spans="1:15" x14ac:dyDescent="0.3">
      <c r="A541">
        <v>4639</v>
      </c>
      <c r="B541">
        <v>43378</v>
      </c>
      <c r="D541" t="s">
        <v>346</v>
      </c>
      <c r="G541">
        <v>60</v>
      </c>
      <c r="H541" t="s">
        <v>13</v>
      </c>
      <c r="O541" t="str">
        <f t="shared" si="8"/>
        <v>Tg(sox10:zFlp)</v>
      </c>
    </row>
    <row r="542" spans="1:15" x14ac:dyDescent="0.3">
      <c r="A542">
        <v>4640</v>
      </c>
      <c r="B542">
        <v>43375</v>
      </c>
      <c r="D542" t="s">
        <v>532</v>
      </c>
      <c r="G542">
        <v>40</v>
      </c>
      <c r="H542" t="s">
        <v>251</v>
      </c>
      <c r="I542">
        <v>2960</v>
      </c>
      <c r="J542" t="s">
        <v>12</v>
      </c>
      <c r="L542">
        <v>2960</v>
      </c>
      <c r="M542" t="s">
        <v>12</v>
      </c>
      <c r="O542" t="str">
        <f t="shared" si="8"/>
        <v>Tg(cd59:TagRFP) F0 6.3kb</v>
      </c>
    </row>
    <row r="543" spans="1:15" x14ac:dyDescent="0.3">
      <c r="A543">
        <v>4641</v>
      </c>
      <c r="B543">
        <v>43375</v>
      </c>
      <c r="C543" t="s">
        <v>533</v>
      </c>
      <c r="D543" t="s">
        <v>272</v>
      </c>
      <c r="G543">
        <v>30</v>
      </c>
      <c r="H543" t="s">
        <v>50</v>
      </c>
      <c r="I543">
        <v>4236</v>
      </c>
      <c r="K543" t="s">
        <v>57</v>
      </c>
      <c r="L543">
        <v>4504</v>
      </c>
      <c r="M543" t="s">
        <v>534</v>
      </c>
      <c r="O543" t="str">
        <f t="shared" si="8"/>
        <v>wif1 F1==Tg(sox10:eos)</v>
      </c>
    </row>
    <row r="544" spans="1:15" x14ac:dyDescent="0.3">
      <c r="A544">
        <v>4642</v>
      </c>
      <c r="B544">
        <v>43375</v>
      </c>
      <c r="C544" t="s">
        <v>533</v>
      </c>
      <c r="D544" t="s">
        <v>275</v>
      </c>
      <c r="G544">
        <v>40</v>
      </c>
      <c r="H544" t="s">
        <v>50</v>
      </c>
      <c r="I544">
        <v>3100</v>
      </c>
      <c r="K544" t="s">
        <v>70</v>
      </c>
      <c r="L544">
        <v>4504</v>
      </c>
      <c r="M544" t="s">
        <v>534</v>
      </c>
      <c r="O544" t="str">
        <f t="shared" si="8"/>
        <v>wif1 F1==Tg(olig2:dsred2)</v>
      </c>
    </row>
    <row r="545" spans="1:15" x14ac:dyDescent="0.3">
      <c r="A545">
        <v>4643</v>
      </c>
      <c r="B545">
        <v>43375</v>
      </c>
      <c r="D545" t="s">
        <v>535</v>
      </c>
      <c r="G545">
        <v>50</v>
      </c>
      <c r="H545" t="s">
        <v>50</v>
      </c>
      <c r="I545">
        <v>4000</v>
      </c>
      <c r="J545" t="s">
        <v>12</v>
      </c>
      <c r="L545">
        <v>4000</v>
      </c>
      <c r="M545" t="s">
        <v>12</v>
      </c>
      <c r="O545" t="str">
        <f t="shared" si="8"/>
        <v>Ki(wif1:eGFP) F0</v>
      </c>
    </row>
    <row r="546" spans="1:15" x14ac:dyDescent="0.3">
      <c r="A546">
        <v>4644</v>
      </c>
      <c r="B546">
        <v>43375</v>
      </c>
      <c r="D546" t="s">
        <v>536</v>
      </c>
      <c r="G546">
        <v>50</v>
      </c>
      <c r="H546" t="s">
        <v>50</v>
      </c>
      <c r="I546">
        <v>4000</v>
      </c>
      <c r="J546" t="s">
        <v>12</v>
      </c>
      <c r="L546">
        <v>4000</v>
      </c>
      <c r="M546" t="s">
        <v>12</v>
      </c>
      <c r="O546" t="str">
        <f t="shared" si="8"/>
        <v>tg(sox10:nlsCas9-IRES-nls:eGFP);(cry:mcherry) F0</v>
      </c>
    </row>
    <row r="547" spans="1:15" x14ac:dyDescent="0.3">
      <c r="A547">
        <v>4645</v>
      </c>
      <c r="B547">
        <v>43375</v>
      </c>
      <c r="D547" t="s">
        <v>537</v>
      </c>
      <c r="G547">
        <v>12</v>
      </c>
      <c r="H547" t="s">
        <v>50</v>
      </c>
      <c r="I547">
        <v>4000</v>
      </c>
      <c r="J547" t="s">
        <v>12</v>
      </c>
      <c r="L547">
        <v>4000</v>
      </c>
      <c r="M547" t="s">
        <v>12</v>
      </c>
      <c r="O547" t="str">
        <f t="shared" si="8"/>
        <v xml:space="preserve">tg(clu(7.8):eos);(cry:GFP) F0 </v>
      </c>
    </row>
    <row r="548" spans="1:15" x14ac:dyDescent="0.3">
      <c r="A548">
        <v>4646</v>
      </c>
      <c r="B548">
        <v>43375</v>
      </c>
      <c r="C548" t="s">
        <v>533</v>
      </c>
      <c r="G548">
        <v>150</v>
      </c>
      <c r="H548" t="s">
        <v>50</v>
      </c>
      <c r="I548">
        <v>4236</v>
      </c>
      <c r="K548" t="s">
        <v>57</v>
      </c>
      <c r="L548">
        <v>4504</v>
      </c>
      <c r="M548" t="s">
        <v>534</v>
      </c>
      <c r="O548" t="str">
        <f t="shared" si="8"/>
        <v>wif1 F1</v>
      </c>
    </row>
    <row r="549" spans="1:15" x14ac:dyDescent="0.3">
      <c r="A549">
        <v>4647</v>
      </c>
      <c r="B549">
        <v>43377</v>
      </c>
      <c r="D549" t="s">
        <v>538</v>
      </c>
      <c r="G549">
        <v>9</v>
      </c>
      <c r="H549" t="s">
        <v>379</v>
      </c>
      <c r="I549">
        <v>4460</v>
      </c>
      <c r="J549" t="s">
        <v>12</v>
      </c>
      <c r="L549">
        <v>4460</v>
      </c>
      <c r="M549" t="s">
        <v>12</v>
      </c>
      <c r="O549" t="str">
        <f t="shared" si="8"/>
        <v>tg(sox10:rcamp1h)</v>
      </c>
    </row>
    <row r="550" spans="1:15" x14ac:dyDescent="0.3">
      <c r="A550">
        <v>4648</v>
      </c>
      <c r="B550">
        <v>43377</v>
      </c>
      <c r="D550" t="s">
        <v>539</v>
      </c>
      <c r="G550">
        <v>80</v>
      </c>
      <c r="H550" t="s">
        <v>379</v>
      </c>
      <c r="I550" t="s">
        <v>540</v>
      </c>
      <c r="J550" t="s">
        <v>12</v>
      </c>
      <c r="L550" t="s">
        <v>540</v>
      </c>
      <c r="M550" t="s">
        <v>12</v>
      </c>
      <c r="O550" t="str">
        <f t="shared" si="8"/>
        <v>tg(sox10:iglusnfr)</v>
      </c>
    </row>
    <row r="551" spans="1:15" x14ac:dyDescent="0.3">
      <c r="A551">
        <v>4649</v>
      </c>
      <c r="B551">
        <v>43380</v>
      </c>
      <c r="D551" t="s">
        <v>541</v>
      </c>
      <c r="G551">
        <v>20</v>
      </c>
      <c r="H551" t="s">
        <v>108</v>
      </c>
      <c r="I551" t="s">
        <v>542</v>
      </c>
      <c r="K551" t="s">
        <v>543</v>
      </c>
      <c r="L551" t="s">
        <v>542</v>
      </c>
      <c r="N551" t="s">
        <v>544</v>
      </c>
      <c r="O551" t="str">
        <f t="shared" si="8"/>
        <v>tg(12XSBE:EGFP)</v>
      </c>
    </row>
    <row r="552" spans="1:15" x14ac:dyDescent="0.3">
      <c r="A552">
        <v>4650</v>
      </c>
      <c r="B552">
        <v>43380</v>
      </c>
      <c r="D552" t="s">
        <v>545</v>
      </c>
      <c r="G552">
        <v>20</v>
      </c>
      <c r="H552" t="s">
        <v>108</v>
      </c>
      <c r="I552" t="s">
        <v>542</v>
      </c>
      <c r="K552" t="s">
        <v>543</v>
      </c>
      <c r="L552" t="s">
        <v>542</v>
      </c>
      <c r="N552" t="s">
        <v>546</v>
      </c>
      <c r="O552" t="str">
        <f t="shared" si="8"/>
        <v>tg(12XSBE:mcherry)</v>
      </c>
    </row>
    <row r="553" spans="1:15" x14ac:dyDescent="0.3">
      <c r="A553">
        <v>4651</v>
      </c>
      <c r="B553">
        <v>43380</v>
      </c>
      <c r="D553" t="s">
        <v>543</v>
      </c>
      <c r="G553">
        <v>10</v>
      </c>
      <c r="H553" t="s">
        <v>108</v>
      </c>
      <c r="I553" t="s">
        <v>542</v>
      </c>
      <c r="K553" t="s">
        <v>543</v>
      </c>
      <c r="L553" t="s">
        <v>542</v>
      </c>
      <c r="N553" t="s">
        <v>544</v>
      </c>
      <c r="O553" t="str">
        <f t="shared" si="8"/>
        <v>casper EKK</v>
      </c>
    </row>
    <row r="554" spans="1:15" x14ac:dyDescent="0.3">
      <c r="A554">
        <v>4652</v>
      </c>
      <c r="B554">
        <v>43381</v>
      </c>
      <c r="D554" t="s">
        <v>547</v>
      </c>
      <c r="G554">
        <v>10</v>
      </c>
      <c r="H554" t="s">
        <v>379</v>
      </c>
      <c r="I554" t="s">
        <v>548</v>
      </c>
      <c r="J554" t="s">
        <v>12</v>
      </c>
      <c r="L554" t="s">
        <v>548</v>
      </c>
      <c r="M554" t="s">
        <v>12</v>
      </c>
      <c r="O554" t="str">
        <f t="shared" si="8"/>
        <v>tg(sox10:rcamp1h) F0</v>
      </c>
    </row>
    <row r="555" spans="1:15" x14ac:dyDescent="0.3">
      <c r="A555">
        <v>4653</v>
      </c>
      <c r="B555">
        <v>43384</v>
      </c>
      <c r="C555" t="s">
        <v>549</v>
      </c>
      <c r="G555">
        <v>20</v>
      </c>
      <c r="H555" t="s">
        <v>13</v>
      </c>
      <c r="I555">
        <v>4486</v>
      </c>
      <c r="J555" t="s">
        <v>398</v>
      </c>
      <c r="K555" t="s">
        <v>148</v>
      </c>
      <c r="L555">
        <v>4486</v>
      </c>
      <c r="M555" t="s">
        <v>398</v>
      </c>
      <c r="N555" t="s">
        <v>148</v>
      </c>
      <c r="O555" t="str">
        <f t="shared" si="8"/>
        <v>nf1a+/+;nf1b-/-</v>
      </c>
    </row>
    <row r="556" spans="1:15" x14ac:dyDescent="0.3">
      <c r="A556">
        <v>4654</v>
      </c>
      <c r="B556">
        <v>43388</v>
      </c>
      <c r="C556" t="s">
        <v>550</v>
      </c>
      <c r="G556" t="s">
        <v>551</v>
      </c>
      <c r="H556" t="s">
        <v>108</v>
      </c>
      <c r="I556">
        <v>4529</v>
      </c>
      <c r="J556" t="s">
        <v>550</v>
      </c>
      <c r="L556">
        <v>4529</v>
      </c>
      <c r="M556" t="s">
        <v>550</v>
      </c>
      <c r="O556" t="str">
        <f t="shared" si="8"/>
        <v>nkx2.2a+/-</v>
      </c>
    </row>
    <row r="557" spans="1:15" x14ac:dyDescent="0.3">
      <c r="A557">
        <v>4655</v>
      </c>
      <c r="B557">
        <v>43385</v>
      </c>
      <c r="C557" t="s">
        <v>533</v>
      </c>
      <c r="D557" t="s">
        <v>180</v>
      </c>
      <c r="G557">
        <v>30</v>
      </c>
      <c r="H557" t="s">
        <v>50</v>
      </c>
      <c r="I557">
        <v>4516</v>
      </c>
      <c r="J557" t="s">
        <v>552</v>
      </c>
      <c r="L557">
        <v>4170</v>
      </c>
      <c r="N557" t="s">
        <v>180</v>
      </c>
      <c r="O557" t="str">
        <f t="shared" si="8"/>
        <v>wif1 F1==tg(mbp:egfp-caax)</v>
      </c>
    </row>
    <row r="558" spans="1:15" x14ac:dyDescent="0.3">
      <c r="A558">
        <v>4656</v>
      </c>
      <c r="B558">
        <v>43385</v>
      </c>
      <c r="C558" t="s">
        <v>553</v>
      </c>
      <c r="D558" t="s">
        <v>57</v>
      </c>
      <c r="G558">
        <v>70</v>
      </c>
      <c r="H558" t="s">
        <v>50</v>
      </c>
      <c r="I558">
        <v>4492</v>
      </c>
      <c r="J558" t="s">
        <v>554</v>
      </c>
      <c r="L558">
        <v>4236</v>
      </c>
      <c r="N558" t="s">
        <v>57</v>
      </c>
      <c r="O558" t="str">
        <f t="shared" si="8"/>
        <v>krox20 fh227 +/+, +/-==tg(sox10:eos)</v>
      </c>
    </row>
    <row r="559" spans="1:15" x14ac:dyDescent="0.3">
      <c r="A559">
        <v>4657</v>
      </c>
      <c r="B559">
        <v>43390</v>
      </c>
      <c r="C559" t="s">
        <v>555</v>
      </c>
      <c r="G559">
        <v>25</v>
      </c>
      <c r="H559" t="s">
        <v>114</v>
      </c>
      <c r="I559">
        <v>4512</v>
      </c>
      <c r="J559" t="s">
        <v>556</v>
      </c>
      <c r="L559">
        <v>4210</v>
      </c>
      <c r="M559" t="s">
        <v>85</v>
      </c>
      <c r="O559" t="str">
        <f t="shared" si="8"/>
        <v>ndrg3a CRISPR F1 #1</v>
      </c>
    </row>
    <row r="560" spans="1:15" x14ac:dyDescent="0.3">
      <c r="A560">
        <v>4658</v>
      </c>
      <c r="B560">
        <v>43395</v>
      </c>
      <c r="D560" t="s">
        <v>557</v>
      </c>
      <c r="G560">
        <v>110</v>
      </c>
      <c r="H560" t="s">
        <v>379</v>
      </c>
      <c r="I560">
        <v>2985</v>
      </c>
      <c r="J560" t="s">
        <v>12</v>
      </c>
      <c r="L560">
        <v>2985</v>
      </c>
      <c r="M560" t="s">
        <v>12</v>
      </c>
      <c r="O560" t="str">
        <f t="shared" si="8"/>
        <v>tg(uas:rcamp1h);(cry:GFP) F0</v>
      </c>
    </row>
    <row r="561" spans="1:15" x14ac:dyDescent="0.3">
      <c r="A561">
        <v>4659</v>
      </c>
      <c r="B561">
        <v>43395</v>
      </c>
      <c r="C561" t="s">
        <v>12</v>
      </c>
      <c r="G561">
        <v>70</v>
      </c>
      <c r="H561" t="s">
        <v>13</v>
      </c>
      <c r="I561">
        <v>4472</v>
      </c>
      <c r="J561" t="s">
        <v>12</v>
      </c>
      <c r="L561">
        <v>4472</v>
      </c>
      <c r="M561" t="s">
        <v>12</v>
      </c>
      <c r="O561" t="str">
        <f t="shared" si="8"/>
        <v>AB*</v>
      </c>
    </row>
    <row r="562" spans="1:15" x14ac:dyDescent="0.3">
      <c r="A562">
        <v>4660</v>
      </c>
      <c r="B562">
        <v>43401</v>
      </c>
      <c r="D562" t="s">
        <v>84</v>
      </c>
      <c r="E562" t="s">
        <v>89</v>
      </c>
      <c r="G562">
        <v>30</v>
      </c>
      <c r="H562" t="s">
        <v>33</v>
      </c>
      <c r="I562">
        <v>4197</v>
      </c>
      <c r="J562" t="s">
        <v>12</v>
      </c>
      <c r="L562">
        <v>2841</v>
      </c>
      <c r="N562" t="s">
        <v>558</v>
      </c>
      <c r="O562" t="str">
        <f t="shared" si="8"/>
        <v>Tg(sox10:nls-EOS)==Tg(gfap:nfsb-mCherry)</v>
      </c>
    </row>
    <row r="563" spans="1:15" x14ac:dyDescent="0.3">
      <c r="A563">
        <v>4661</v>
      </c>
      <c r="B563">
        <v>43401</v>
      </c>
      <c r="D563" t="s">
        <v>87</v>
      </c>
      <c r="E563" t="s">
        <v>89</v>
      </c>
      <c r="G563">
        <v>35</v>
      </c>
      <c r="H563" t="s">
        <v>33</v>
      </c>
      <c r="I563">
        <v>4197</v>
      </c>
      <c r="J563" t="s">
        <v>12</v>
      </c>
      <c r="L563">
        <v>4224</v>
      </c>
      <c r="N563" t="s">
        <v>559</v>
      </c>
      <c r="O563" t="str">
        <f t="shared" si="8"/>
        <v>Tg(sox10:EOS)==Tg(gfap:nfsb-mCherry)</v>
      </c>
    </row>
    <row r="564" spans="1:15" x14ac:dyDescent="0.3">
      <c r="A564">
        <v>4662</v>
      </c>
      <c r="B564">
        <v>43399</v>
      </c>
      <c r="C564" t="s">
        <v>560</v>
      </c>
      <c r="G564">
        <v>40</v>
      </c>
      <c r="H564" t="s">
        <v>561</v>
      </c>
      <c r="I564">
        <v>2964</v>
      </c>
      <c r="J564" t="s">
        <v>12</v>
      </c>
      <c r="O564" t="str">
        <f t="shared" si="8"/>
        <v>gria4a +/+, +/-</v>
      </c>
    </row>
    <row r="565" spans="1:15" x14ac:dyDescent="0.3">
      <c r="A565">
        <v>4663</v>
      </c>
      <c r="B565">
        <v>43402</v>
      </c>
      <c r="D565" t="s">
        <v>532</v>
      </c>
      <c r="E565" t="s">
        <v>180</v>
      </c>
      <c r="G565">
        <v>75</v>
      </c>
      <c r="H565" t="s">
        <v>251</v>
      </c>
      <c r="I565">
        <v>2862</v>
      </c>
      <c r="K565" t="s">
        <v>180</v>
      </c>
      <c r="L565">
        <v>2862</v>
      </c>
      <c r="M565" t="s">
        <v>180</v>
      </c>
      <c r="O565" t="str">
        <f t="shared" si="8"/>
        <v>Tg(cd59:TagRFP) F0 6.3kb==tg(mbp:egfp-caax)</v>
      </c>
    </row>
    <row r="566" spans="1:15" x14ac:dyDescent="0.3">
      <c r="A566">
        <v>4664</v>
      </c>
      <c r="B566">
        <v>43402</v>
      </c>
      <c r="D566" t="s">
        <v>532</v>
      </c>
      <c r="E566" t="s">
        <v>180</v>
      </c>
      <c r="G566">
        <v>75</v>
      </c>
      <c r="H566" t="s">
        <v>251</v>
      </c>
      <c r="I566">
        <v>2862</v>
      </c>
      <c r="K566" t="s">
        <v>180</v>
      </c>
      <c r="L566">
        <v>2862</v>
      </c>
      <c r="M566" t="s">
        <v>180</v>
      </c>
      <c r="O566" t="str">
        <f t="shared" si="8"/>
        <v>Tg(cd59:TagRFP) F0 6.3kb==tg(mbp:egfp-caax)</v>
      </c>
    </row>
    <row r="567" spans="1:15" x14ac:dyDescent="0.3">
      <c r="A567">
        <v>4665</v>
      </c>
      <c r="B567">
        <v>43402</v>
      </c>
      <c r="D567" t="s">
        <v>464</v>
      </c>
      <c r="I567">
        <v>4208</v>
      </c>
      <c r="K567" t="s">
        <v>562</v>
      </c>
      <c r="L567">
        <v>3045</v>
      </c>
      <c r="M567" t="s">
        <v>85</v>
      </c>
      <c r="O567" t="str">
        <f t="shared" si="8"/>
        <v>Tg(gfap:egfp)</v>
      </c>
    </row>
    <row r="568" spans="1:15" x14ac:dyDescent="0.3">
      <c r="A568">
        <v>4666</v>
      </c>
      <c r="B568">
        <v>43402</v>
      </c>
      <c r="D568" t="s">
        <v>464</v>
      </c>
      <c r="I568">
        <v>3045</v>
      </c>
      <c r="J568" t="s">
        <v>85</v>
      </c>
      <c r="L568">
        <v>4208</v>
      </c>
      <c r="N568" t="s">
        <v>464</v>
      </c>
      <c r="O568" t="str">
        <f t="shared" si="8"/>
        <v>Tg(gfap:egfp)</v>
      </c>
    </row>
    <row r="569" spans="1:15" x14ac:dyDescent="0.3">
      <c r="A569">
        <v>4667</v>
      </c>
      <c r="B569">
        <v>43402</v>
      </c>
      <c r="D569" t="s">
        <v>464</v>
      </c>
      <c r="I569">
        <v>4208</v>
      </c>
      <c r="K569" t="s">
        <v>562</v>
      </c>
      <c r="L569">
        <v>3045</v>
      </c>
      <c r="M569" t="s">
        <v>85</v>
      </c>
      <c r="O569" t="str">
        <f t="shared" si="8"/>
        <v>Tg(gfap:egfp)</v>
      </c>
    </row>
    <row r="570" spans="1:15" x14ac:dyDescent="0.3">
      <c r="A570">
        <v>4668</v>
      </c>
      <c r="B570">
        <v>43402</v>
      </c>
      <c r="D570" t="s">
        <v>464</v>
      </c>
      <c r="I570">
        <v>4208</v>
      </c>
      <c r="K570" t="s">
        <v>562</v>
      </c>
      <c r="L570">
        <v>3045</v>
      </c>
      <c r="M570" t="s">
        <v>85</v>
      </c>
      <c r="O570" t="str">
        <f t="shared" si="8"/>
        <v>Tg(gfap:egfp)</v>
      </c>
    </row>
    <row r="571" spans="1:15" x14ac:dyDescent="0.3">
      <c r="A571">
        <v>4669</v>
      </c>
      <c r="B571">
        <v>43406</v>
      </c>
      <c r="C571" t="s">
        <v>563</v>
      </c>
      <c r="G571">
        <v>6</v>
      </c>
      <c r="H571" t="s">
        <v>13</v>
      </c>
      <c r="I571">
        <v>3020</v>
      </c>
      <c r="J571" t="s">
        <v>382</v>
      </c>
      <c r="L571">
        <v>4119</v>
      </c>
      <c r="M571" t="s">
        <v>564</v>
      </c>
      <c r="O571" t="str">
        <f t="shared" si="8"/>
        <v>nf1a+/-; nf1b+/+</v>
      </c>
    </row>
    <row r="572" spans="1:15" x14ac:dyDescent="0.3">
      <c r="A572">
        <v>4670</v>
      </c>
      <c r="B572">
        <v>43405</v>
      </c>
      <c r="D572" t="s">
        <v>565</v>
      </c>
      <c r="G572">
        <v>50</v>
      </c>
      <c r="H572" t="s">
        <v>379</v>
      </c>
      <c r="I572">
        <v>2985</v>
      </c>
      <c r="J572" t="s">
        <v>85</v>
      </c>
      <c r="L572">
        <v>2985</v>
      </c>
      <c r="M572" t="s">
        <v>85</v>
      </c>
      <c r="O572" t="str">
        <f t="shared" si="8"/>
        <v>Tg(p1.6fbln2:egfp)(cry2:gfp) F0</v>
      </c>
    </row>
    <row r="573" spans="1:15" x14ac:dyDescent="0.3">
      <c r="A573">
        <v>4671</v>
      </c>
      <c r="B573">
        <v>43405</v>
      </c>
      <c r="D573" t="s">
        <v>24</v>
      </c>
      <c r="G573">
        <v>200</v>
      </c>
      <c r="H573" t="s">
        <v>379</v>
      </c>
      <c r="I573">
        <v>4270</v>
      </c>
      <c r="K573" t="s">
        <v>24</v>
      </c>
      <c r="L573">
        <v>4270</v>
      </c>
      <c r="N573" t="s">
        <v>24</v>
      </c>
      <c r="O573" t="str">
        <f t="shared" si="8"/>
        <v>Tg(tnfa:gfp)</v>
      </c>
    </row>
    <row r="574" spans="1:15" x14ac:dyDescent="0.3">
      <c r="A574">
        <v>4672</v>
      </c>
      <c r="B574">
        <v>43406</v>
      </c>
      <c r="D574" t="s">
        <v>566</v>
      </c>
      <c r="E574" t="s">
        <v>219</v>
      </c>
      <c r="G574">
        <v>30</v>
      </c>
      <c r="H574" t="s">
        <v>33</v>
      </c>
      <c r="I574">
        <v>2906</v>
      </c>
      <c r="K574" t="s">
        <v>567</v>
      </c>
      <c r="L574">
        <v>4272</v>
      </c>
      <c r="N574" t="s">
        <v>568</v>
      </c>
      <c r="O574" t="str">
        <f t="shared" si="8"/>
        <v>Tg(sox10:Gal4;cmlc2:GFP)==Tg(UAS:GFP-2xFYVE)</v>
      </c>
    </row>
    <row r="575" spans="1:15" x14ac:dyDescent="0.3">
      <c r="A575">
        <v>4673</v>
      </c>
      <c r="B575">
        <v>43406</v>
      </c>
      <c r="D575" t="s">
        <v>566</v>
      </c>
      <c r="E575" t="s">
        <v>219</v>
      </c>
      <c r="F575" t="s">
        <v>95</v>
      </c>
      <c r="G575">
        <v>60</v>
      </c>
      <c r="H575" t="s">
        <v>33</v>
      </c>
      <c r="I575">
        <v>2906</v>
      </c>
      <c r="K575" t="s">
        <v>567</v>
      </c>
      <c r="L575">
        <v>4272</v>
      </c>
      <c r="N575" t="s">
        <v>568</v>
      </c>
      <c r="O575" t="str">
        <f t="shared" si="8"/>
        <v>Tg(sox10:Gal4;cmlc2:GFP)==Tg(UAS:GFP-2xFYVE)==Tg(UAS:mCherry)</v>
      </c>
    </row>
    <row r="576" spans="1:15" x14ac:dyDescent="0.3">
      <c r="A576">
        <v>4674</v>
      </c>
      <c r="B576">
        <v>43410</v>
      </c>
      <c r="D576" t="s">
        <v>569</v>
      </c>
      <c r="E576" t="s">
        <v>468</v>
      </c>
      <c r="G576">
        <v>40</v>
      </c>
      <c r="H576" t="s">
        <v>114</v>
      </c>
      <c r="I576">
        <v>4426</v>
      </c>
      <c r="K576" t="s">
        <v>569</v>
      </c>
      <c r="L576">
        <v>4112</v>
      </c>
      <c r="N576" t="s">
        <v>468</v>
      </c>
      <c r="O576" t="str">
        <f t="shared" si="8"/>
        <v>Tg(gfap:mfsb-mcherry)==Tg(olig2:EGFP)</v>
      </c>
    </row>
    <row r="577" spans="1:15" x14ac:dyDescent="0.3">
      <c r="A577">
        <v>4675</v>
      </c>
      <c r="B577">
        <v>43410</v>
      </c>
      <c r="D577" t="s">
        <v>570</v>
      </c>
      <c r="G577">
        <v>100</v>
      </c>
      <c r="H577" t="s">
        <v>379</v>
      </c>
      <c r="K577" t="s">
        <v>571</v>
      </c>
      <c r="N577" t="s">
        <v>571</v>
      </c>
      <c r="O577" t="str">
        <f t="shared" si="8"/>
        <v>Tg(ngn1:gfp)</v>
      </c>
    </row>
    <row r="578" spans="1:15" x14ac:dyDescent="0.3">
      <c r="A578">
        <v>4676</v>
      </c>
      <c r="B578">
        <v>43410</v>
      </c>
      <c r="D578" t="s">
        <v>570</v>
      </c>
      <c r="G578">
        <v>100</v>
      </c>
      <c r="H578" t="s">
        <v>379</v>
      </c>
      <c r="K578" t="s">
        <v>571</v>
      </c>
      <c r="N578" t="s">
        <v>571</v>
      </c>
      <c r="O578" t="str">
        <f t="shared" si="8"/>
        <v>Tg(ngn1:gfp)</v>
      </c>
    </row>
    <row r="579" spans="1:15" x14ac:dyDescent="0.3">
      <c r="A579">
        <v>4677</v>
      </c>
      <c r="B579">
        <v>43411</v>
      </c>
      <c r="D579" t="s">
        <v>572</v>
      </c>
      <c r="E579" t="s">
        <v>24</v>
      </c>
      <c r="G579">
        <v>20</v>
      </c>
      <c r="H579" t="s">
        <v>379</v>
      </c>
      <c r="I579">
        <v>4276</v>
      </c>
      <c r="K579" t="s">
        <v>572</v>
      </c>
      <c r="L579">
        <v>4270</v>
      </c>
      <c r="N579" t="s">
        <v>24</v>
      </c>
      <c r="O579" t="str">
        <f t="shared" ref="O579:O625" si="9">TEXTJOIN("==",TRUE,C579:F579)</f>
        <v>Tg(sox10:tagRFP)==Tg(tnfa:gfp)</v>
      </c>
    </row>
    <row r="580" spans="1:15" x14ac:dyDescent="0.3">
      <c r="A580">
        <v>4678</v>
      </c>
      <c r="B580">
        <v>43411</v>
      </c>
      <c r="D580" t="s">
        <v>573</v>
      </c>
      <c r="G580">
        <v>8</v>
      </c>
      <c r="H580" t="s">
        <v>33</v>
      </c>
      <c r="I580">
        <v>4473</v>
      </c>
      <c r="J580" t="s">
        <v>85</v>
      </c>
      <c r="L580">
        <v>4473</v>
      </c>
      <c r="M580" t="s">
        <v>85</v>
      </c>
      <c r="O580" t="str">
        <f t="shared" si="9"/>
        <v>(mpeg1:TagRFP) inj</v>
      </c>
    </row>
    <row r="581" spans="1:15" x14ac:dyDescent="0.3">
      <c r="A581">
        <v>4679</v>
      </c>
      <c r="B581">
        <v>43413</v>
      </c>
      <c r="D581" t="s">
        <v>574</v>
      </c>
      <c r="E581" t="s">
        <v>106</v>
      </c>
      <c r="G581">
        <v>32</v>
      </c>
      <c r="H581" t="s">
        <v>33</v>
      </c>
      <c r="I581">
        <v>4151</v>
      </c>
      <c r="K581" t="s">
        <v>106</v>
      </c>
      <c r="L581">
        <v>4483</v>
      </c>
      <c r="N581" t="s">
        <v>84</v>
      </c>
      <c r="O581" t="str">
        <f t="shared" si="9"/>
        <v>Tg(sox10:nls-Eos)==Tg(olig2:DsRed)</v>
      </c>
    </row>
    <row r="582" spans="1:15" x14ac:dyDescent="0.3">
      <c r="A582">
        <v>4680</v>
      </c>
      <c r="B582">
        <v>43412</v>
      </c>
      <c r="D582" t="s">
        <v>575</v>
      </c>
      <c r="G582">
        <v>25</v>
      </c>
      <c r="H582" t="s">
        <v>379</v>
      </c>
      <c r="O582" t="str">
        <f t="shared" si="9"/>
        <v>Tg(p1.3glulb:egfp)(cry:gfp) F0</v>
      </c>
    </row>
    <row r="583" spans="1:15" x14ac:dyDescent="0.3">
      <c r="A583">
        <v>4681</v>
      </c>
      <c r="B583" t="s">
        <v>576</v>
      </c>
      <c r="D583" t="s">
        <v>577</v>
      </c>
      <c r="G583">
        <v>2</v>
      </c>
      <c r="H583" t="s">
        <v>50</v>
      </c>
      <c r="I583">
        <v>4235</v>
      </c>
      <c r="J583" t="s">
        <v>12</v>
      </c>
      <c r="L583">
        <v>4533</v>
      </c>
      <c r="N583" t="s">
        <v>578</v>
      </c>
      <c r="O583" t="str">
        <f t="shared" si="9"/>
        <v>tg(olig1:tagRFP) F1</v>
      </c>
    </row>
    <row r="584" spans="1:15" x14ac:dyDescent="0.3">
      <c r="A584">
        <v>4682</v>
      </c>
      <c r="B584" t="s">
        <v>579</v>
      </c>
      <c r="D584" t="s">
        <v>580</v>
      </c>
      <c r="G584">
        <v>15</v>
      </c>
      <c r="H584" t="s">
        <v>50</v>
      </c>
      <c r="I584">
        <v>4235</v>
      </c>
      <c r="J584" t="s">
        <v>12</v>
      </c>
      <c r="L584">
        <v>4235</v>
      </c>
      <c r="M584" t="s">
        <v>12</v>
      </c>
      <c r="O584" t="str">
        <f t="shared" si="9"/>
        <v>olig1:tagRFP-CAAX F0</v>
      </c>
    </row>
    <row r="585" spans="1:15" x14ac:dyDescent="0.3">
      <c r="A585">
        <v>4683</v>
      </c>
      <c r="B585">
        <v>43422</v>
      </c>
      <c r="D585" t="s">
        <v>572</v>
      </c>
      <c r="E585" t="s">
        <v>24</v>
      </c>
      <c r="G585">
        <v>25</v>
      </c>
      <c r="H585" t="s">
        <v>379</v>
      </c>
      <c r="I585">
        <v>4276</v>
      </c>
      <c r="K585" t="s">
        <v>572</v>
      </c>
      <c r="L585">
        <v>4270</v>
      </c>
      <c r="N585" t="s">
        <v>24</v>
      </c>
      <c r="O585" t="str">
        <f t="shared" si="9"/>
        <v>Tg(sox10:tagRFP)==Tg(tnfa:gfp)</v>
      </c>
    </row>
    <row r="586" spans="1:15" x14ac:dyDescent="0.3">
      <c r="A586">
        <v>4684</v>
      </c>
      <c r="B586">
        <v>43426</v>
      </c>
      <c r="C586" t="s">
        <v>549</v>
      </c>
      <c r="D586" t="s">
        <v>373</v>
      </c>
      <c r="G586">
        <v>2</v>
      </c>
      <c r="H586" t="s">
        <v>13</v>
      </c>
      <c r="O586" t="str">
        <f t="shared" si="9"/>
        <v>nf1a+/+;nf1b-/-==Ki(eab2:GA)</v>
      </c>
    </row>
    <row r="587" spans="1:15" x14ac:dyDescent="0.3">
      <c r="A587">
        <v>4685</v>
      </c>
      <c r="B587">
        <v>43431</v>
      </c>
      <c r="D587" t="s">
        <v>577</v>
      </c>
      <c r="G587">
        <v>2</v>
      </c>
      <c r="H587" t="s">
        <v>50</v>
      </c>
      <c r="I587">
        <v>4235</v>
      </c>
      <c r="J587" t="s">
        <v>12</v>
      </c>
      <c r="L587">
        <v>4533</v>
      </c>
      <c r="N587" t="s">
        <v>578</v>
      </c>
      <c r="O587" t="str">
        <f t="shared" si="9"/>
        <v>tg(olig1:tagRFP) F1</v>
      </c>
    </row>
    <row r="588" spans="1:15" x14ac:dyDescent="0.3">
      <c r="A588">
        <v>4686</v>
      </c>
      <c r="B588">
        <v>43430</v>
      </c>
      <c r="D588" t="s">
        <v>70</v>
      </c>
      <c r="G588">
        <v>45</v>
      </c>
      <c r="H588" t="s">
        <v>50</v>
      </c>
      <c r="I588">
        <v>4235</v>
      </c>
      <c r="J588" t="s">
        <v>12</v>
      </c>
      <c r="L588">
        <v>3100</v>
      </c>
      <c r="N588" t="s">
        <v>70</v>
      </c>
      <c r="O588" t="str">
        <f t="shared" si="9"/>
        <v>tg(olig2:dsred2)</v>
      </c>
    </row>
    <row r="589" spans="1:15" x14ac:dyDescent="0.3">
      <c r="A589">
        <v>4687</v>
      </c>
      <c r="B589">
        <v>43432</v>
      </c>
      <c r="C589" t="s">
        <v>581</v>
      </c>
      <c r="D589" t="s">
        <v>37</v>
      </c>
      <c r="G589">
        <v>10</v>
      </c>
      <c r="H589" t="s">
        <v>140</v>
      </c>
      <c r="I589">
        <v>2476</v>
      </c>
      <c r="J589" t="s">
        <v>581</v>
      </c>
      <c r="K589" t="s">
        <v>37</v>
      </c>
      <c r="L589">
        <v>2995</v>
      </c>
      <c r="M589" t="s">
        <v>85</v>
      </c>
      <c r="O589" t="str">
        <f t="shared" si="9"/>
        <v>stl64+/-==Tg(sox10:mrfp)</v>
      </c>
    </row>
    <row r="590" spans="1:15" x14ac:dyDescent="0.3">
      <c r="A590">
        <v>4688</v>
      </c>
      <c r="B590">
        <v>43432</v>
      </c>
      <c r="C590" t="s">
        <v>158</v>
      </c>
      <c r="G590">
        <v>60</v>
      </c>
      <c r="H590" t="s">
        <v>140</v>
      </c>
      <c r="I590">
        <v>2995</v>
      </c>
      <c r="J590" t="s">
        <v>12</v>
      </c>
      <c r="L590">
        <v>4137</v>
      </c>
      <c r="M590" t="s">
        <v>158</v>
      </c>
      <c r="O590" t="str">
        <f t="shared" si="9"/>
        <v>efnb2a+/-</v>
      </c>
    </row>
    <row r="591" spans="1:15" x14ac:dyDescent="0.3">
      <c r="A591">
        <v>4689</v>
      </c>
      <c r="B591">
        <v>43432</v>
      </c>
      <c r="D591" t="s">
        <v>572</v>
      </c>
      <c r="G591">
        <v>20</v>
      </c>
      <c r="H591" t="s">
        <v>140</v>
      </c>
      <c r="I591">
        <v>4582</v>
      </c>
      <c r="K591" t="s">
        <v>572</v>
      </c>
      <c r="L591">
        <v>2995</v>
      </c>
      <c r="M591" t="s">
        <v>85</v>
      </c>
      <c r="O591" t="str">
        <f t="shared" si="9"/>
        <v>Tg(sox10:tagRFP)</v>
      </c>
    </row>
    <row r="592" spans="1:15" x14ac:dyDescent="0.3">
      <c r="A592">
        <v>4690</v>
      </c>
      <c r="B592">
        <v>43432</v>
      </c>
      <c r="C592" t="s">
        <v>581</v>
      </c>
      <c r="D592" t="s">
        <v>37</v>
      </c>
      <c r="G592">
        <v>30</v>
      </c>
      <c r="H592" t="s">
        <v>140</v>
      </c>
      <c r="I592">
        <v>2476</v>
      </c>
      <c r="J592" t="s">
        <v>581</v>
      </c>
      <c r="K592" t="s">
        <v>37</v>
      </c>
      <c r="L592">
        <v>2476</v>
      </c>
      <c r="M592" t="s">
        <v>581</v>
      </c>
      <c r="N592" t="s">
        <v>37</v>
      </c>
      <c r="O592" t="str">
        <f t="shared" si="9"/>
        <v>stl64+/-==Tg(sox10:mrfp)</v>
      </c>
    </row>
    <row r="593" spans="1:15" x14ac:dyDescent="0.3">
      <c r="A593">
        <v>4691</v>
      </c>
      <c r="B593">
        <v>43432</v>
      </c>
      <c r="E593" t="s">
        <v>29</v>
      </c>
      <c r="G593">
        <v>5</v>
      </c>
      <c r="H593" t="s">
        <v>33</v>
      </c>
      <c r="I593">
        <v>4503</v>
      </c>
      <c r="K593" t="s">
        <v>582</v>
      </c>
      <c r="L593">
        <v>4197</v>
      </c>
      <c r="M593" t="s">
        <v>12</v>
      </c>
      <c r="O593" t="str">
        <f t="shared" si="9"/>
        <v>Tg(pBH-UAS:secA5-YFP)</v>
      </c>
    </row>
    <row r="594" spans="1:15" x14ac:dyDescent="0.3">
      <c r="A594">
        <v>4692</v>
      </c>
      <c r="B594">
        <v>43437</v>
      </c>
      <c r="D594" t="s">
        <v>583</v>
      </c>
      <c r="G594">
        <v>60</v>
      </c>
      <c r="H594" t="s">
        <v>39</v>
      </c>
      <c r="I594">
        <v>2458</v>
      </c>
      <c r="K594" t="s">
        <v>583</v>
      </c>
      <c r="L594">
        <v>2458</v>
      </c>
      <c r="N594" t="s">
        <v>583</v>
      </c>
      <c r="O594" t="str">
        <f t="shared" si="9"/>
        <v>Tg(Huc:kaede)</v>
      </c>
    </row>
    <row r="595" spans="1:15" x14ac:dyDescent="0.3">
      <c r="A595">
        <v>4693</v>
      </c>
      <c r="B595">
        <v>43437</v>
      </c>
      <c r="D595" t="s">
        <v>584</v>
      </c>
      <c r="E595" t="s">
        <v>585</v>
      </c>
      <c r="F595" t="s">
        <v>586</v>
      </c>
      <c r="G595">
        <v>5</v>
      </c>
      <c r="H595" t="s">
        <v>108</v>
      </c>
      <c r="I595">
        <v>4535</v>
      </c>
      <c r="K595" t="s">
        <v>587</v>
      </c>
      <c r="L595">
        <v>4195</v>
      </c>
      <c r="M595" t="s">
        <v>12</v>
      </c>
      <c r="O595" t="str">
        <f t="shared" si="9"/>
        <v>Tg(mpeg1:mcherry)==Tg(mpeg1:rtTA;cmlc2:gfp)==TRE:BELMO</v>
      </c>
    </row>
    <row r="596" spans="1:15" x14ac:dyDescent="0.3">
      <c r="A596">
        <v>4694</v>
      </c>
      <c r="B596">
        <v>43439</v>
      </c>
      <c r="C596" t="s">
        <v>12</v>
      </c>
      <c r="D596" t="s">
        <v>532</v>
      </c>
      <c r="G596">
        <v>100</v>
      </c>
      <c r="H596" t="s">
        <v>251</v>
      </c>
      <c r="I596">
        <v>2513</v>
      </c>
      <c r="J596" t="s">
        <v>12</v>
      </c>
      <c r="L596">
        <v>2513</v>
      </c>
      <c r="M596" t="s">
        <v>12</v>
      </c>
      <c r="O596" t="str">
        <f t="shared" si="9"/>
        <v>AB*==Tg(cd59:TagRFP) F0 6.3kb</v>
      </c>
    </row>
    <row r="597" spans="1:15" x14ac:dyDescent="0.3">
      <c r="A597">
        <v>4695</v>
      </c>
      <c r="B597">
        <v>43439</v>
      </c>
      <c r="C597" t="s">
        <v>12</v>
      </c>
      <c r="D597" t="s">
        <v>588</v>
      </c>
      <c r="G597">
        <v>100</v>
      </c>
      <c r="H597" t="s">
        <v>251</v>
      </c>
      <c r="I597">
        <v>2513</v>
      </c>
      <c r="J597" t="s">
        <v>12</v>
      </c>
      <c r="L597">
        <v>2513</v>
      </c>
      <c r="M597" t="s">
        <v>12</v>
      </c>
      <c r="O597" t="str">
        <f t="shared" si="9"/>
        <v>AB*==Tg(mbpa:mCherry-caax) F0</v>
      </c>
    </row>
    <row r="598" spans="1:15" x14ac:dyDescent="0.3">
      <c r="A598">
        <v>4696</v>
      </c>
      <c r="B598">
        <v>43439</v>
      </c>
      <c r="D598" t="s">
        <v>287</v>
      </c>
      <c r="E598" t="s">
        <v>24</v>
      </c>
      <c r="G598">
        <v>50</v>
      </c>
      <c r="H598" t="s">
        <v>379</v>
      </c>
      <c r="I598">
        <v>4270</v>
      </c>
      <c r="K598" t="s">
        <v>589</v>
      </c>
      <c r="L598" t="s">
        <v>590</v>
      </c>
      <c r="N598" t="s">
        <v>47</v>
      </c>
      <c r="O598" t="str">
        <f t="shared" si="9"/>
        <v>Tg(nbt:dsred)==Tg(tnfa:gfp)</v>
      </c>
    </row>
    <row r="599" spans="1:15" x14ac:dyDescent="0.3">
      <c r="A599">
        <v>4697</v>
      </c>
      <c r="B599">
        <v>43440</v>
      </c>
      <c r="C599" t="s">
        <v>591</v>
      </c>
      <c r="D599" t="s">
        <v>468</v>
      </c>
      <c r="G599">
        <v>200</v>
      </c>
      <c r="H599" t="s">
        <v>114</v>
      </c>
      <c r="I599">
        <v>4253</v>
      </c>
      <c r="J599" t="s">
        <v>85</v>
      </c>
      <c r="L599">
        <v>4599</v>
      </c>
      <c r="M599" t="s">
        <v>592</v>
      </c>
      <c r="N599" t="s">
        <v>468</v>
      </c>
      <c r="O599" t="str">
        <f t="shared" si="9"/>
        <v>crip3 CRISPR F1 Founder 1==Tg(olig2:EGFP)</v>
      </c>
    </row>
    <row r="600" spans="1:15" x14ac:dyDescent="0.3">
      <c r="A600">
        <v>4698</v>
      </c>
      <c r="B600">
        <v>43440</v>
      </c>
      <c r="C600" t="s">
        <v>593</v>
      </c>
      <c r="D600" t="s">
        <v>468</v>
      </c>
      <c r="G600">
        <v>50</v>
      </c>
      <c r="H600" t="s">
        <v>114</v>
      </c>
      <c r="I600">
        <v>4253</v>
      </c>
      <c r="J600" t="s">
        <v>85</v>
      </c>
      <c r="L600">
        <v>4599</v>
      </c>
      <c r="M600" t="s">
        <v>594</v>
      </c>
      <c r="O600" t="str">
        <f t="shared" si="9"/>
        <v>crip3 CRISPR F1 Founder 2==Tg(olig2:EGFP)</v>
      </c>
    </row>
    <row r="601" spans="1:15" x14ac:dyDescent="0.3">
      <c r="A601">
        <v>4699</v>
      </c>
      <c r="B601">
        <v>43441</v>
      </c>
      <c r="C601" t="s">
        <v>595</v>
      </c>
      <c r="D601" t="s">
        <v>468</v>
      </c>
      <c r="G601">
        <v>60</v>
      </c>
      <c r="H601" t="s">
        <v>140</v>
      </c>
      <c r="I601">
        <v>4559</v>
      </c>
      <c r="J601" t="s">
        <v>446</v>
      </c>
      <c r="K601" t="s">
        <v>596</v>
      </c>
      <c r="L601">
        <v>4132</v>
      </c>
      <c r="M601" t="s">
        <v>85</v>
      </c>
      <c r="O601" t="str">
        <f t="shared" si="9"/>
        <v>met 1.6 CRISPR Founder 1==Tg(olig2:EGFP)</v>
      </c>
    </row>
    <row r="602" spans="1:15" x14ac:dyDescent="0.3">
      <c r="A602">
        <v>4700</v>
      </c>
      <c r="B602">
        <v>43441</v>
      </c>
      <c r="C602" t="s">
        <v>595</v>
      </c>
      <c r="E602" t="s">
        <v>37</v>
      </c>
      <c r="G602">
        <v>150</v>
      </c>
      <c r="H602" t="s">
        <v>140</v>
      </c>
      <c r="I602">
        <v>4132</v>
      </c>
      <c r="J602" t="s">
        <v>85</v>
      </c>
      <c r="L602">
        <v>4542</v>
      </c>
      <c r="M602" t="s">
        <v>446</v>
      </c>
      <c r="N602" t="s">
        <v>162</v>
      </c>
      <c r="O602" t="str">
        <f t="shared" si="9"/>
        <v>met 1.6 CRISPR Founder 1==Tg(sox10:mrfp)</v>
      </c>
    </row>
    <row r="603" spans="1:15" x14ac:dyDescent="0.3">
      <c r="A603">
        <v>4701</v>
      </c>
      <c r="B603">
        <v>43445</v>
      </c>
      <c r="D603" t="s">
        <v>597</v>
      </c>
      <c r="G603">
        <v>13</v>
      </c>
      <c r="H603" t="s">
        <v>33</v>
      </c>
      <c r="I603">
        <v>4197</v>
      </c>
      <c r="J603" t="s">
        <v>85</v>
      </c>
      <c r="L603">
        <v>4197</v>
      </c>
      <c r="M603" t="s">
        <v>85</v>
      </c>
      <c r="O603" t="str">
        <f t="shared" si="9"/>
        <v>(mpeg1.1:TagRFP) injected</v>
      </c>
    </row>
    <row r="604" spans="1:15" x14ac:dyDescent="0.3">
      <c r="A604">
        <v>4702</v>
      </c>
      <c r="B604">
        <v>43446</v>
      </c>
      <c r="D604" t="s">
        <v>94</v>
      </c>
      <c r="E604" t="s">
        <v>219</v>
      </c>
      <c r="G604">
        <v>80</v>
      </c>
      <c r="H604" t="s">
        <v>33</v>
      </c>
      <c r="I604">
        <v>4272</v>
      </c>
      <c r="K604" t="s">
        <v>295</v>
      </c>
      <c r="L604">
        <v>4272</v>
      </c>
      <c r="N604" t="s">
        <v>295</v>
      </c>
      <c r="O604" t="str">
        <f t="shared" si="9"/>
        <v>Tg(sox10:Gal4);(cmlc2:GFP)==Tg(UAS:GFP-2xFYVE)</v>
      </c>
    </row>
    <row r="605" spans="1:15" x14ac:dyDescent="0.3">
      <c r="A605">
        <v>4703</v>
      </c>
      <c r="B605">
        <v>43447</v>
      </c>
      <c r="D605" t="s">
        <v>598</v>
      </c>
      <c r="E605" t="s">
        <v>297</v>
      </c>
      <c r="H605" t="s">
        <v>33</v>
      </c>
      <c r="I605">
        <v>4629</v>
      </c>
      <c r="K605" t="s">
        <v>297</v>
      </c>
      <c r="L605">
        <v>4629</v>
      </c>
      <c r="N605" t="s">
        <v>297</v>
      </c>
      <c r="O605" t="str">
        <f t="shared" si="9"/>
        <v>(il1b:GFP-F;cryst:RFP) inj==Tg(sox10:TagRFP)</v>
      </c>
    </row>
    <row r="606" spans="1:15" x14ac:dyDescent="0.3">
      <c r="A606">
        <v>4704</v>
      </c>
      <c r="B606">
        <v>43447</v>
      </c>
      <c r="D606" t="s">
        <v>598</v>
      </c>
      <c r="H606" t="s">
        <v>33</v>
      </c>
      <c r="I606">
        <v>4629</v>
      </c>
      <c r="K606" t="s">
        <v>297</v>
      </c>
      <c r="L606">
        <v>4629</v>
      </c>
      <c r="N606" t="s">
        <v>297</v>
      </c>
      <c r="O606" t="str">
        <f t="shared" si="9"/>
        <v>(il1b:GFP-F;cryst:RFP) inj</v>
      </c>
    </row>
    <row r="607" spans="1:15" x14ac:dyDescent="0.3">
      <c r="A607">
        <v>4705</v>
      </c>
      <c r="B607">
        <v>43446</v>
      </c>
      <c r="D607" t="s">
        <v>599</v>
      </c>
      <c r="G607">
        <v>4</v>
      </c>
      <c r="H607" t="s">
        <v>13</v>
      </c>
      <c r="I607">
        <v>4615</v>
      </c>
      <c r="K607" t="s">
        <v>372</v>
      </c>
      <c r="O607" t="str">
        <f t="shared" si="9"/>
        <v>Ki(eab2:AG) F2</v>
      </c>
    </row>
    <row r="608" spans="1:15" x14ac:dyDescent="0.3">
      <c r="A608">
        <v>4706</v>
      </c>
      <c r="B608">
        <v>43446</v>
      </c>
      <c r="C608" t="s">
        <v>600</v>
      </c>
      <c r="D608" t="s">
        <v>599</v>
      </c>
      <c r="G608">
        <v>5</v>
      </c>
      <c r="H608" t="s">
        <v>13</v>
      </c>
      <c r="O608" t="str">
        <f t="shared" si="9"/>
        <v>nf1b+/-==Ki(eab2:AG) F2</v>
      </c>
    </row>
    <row r="609" spans="1:15" x14ac:dyDescent="0.3">
      <c r="A609">
        <v>4707</v>
      </c>
      <c r="B609">
        <v>43446</v>
      </c>
      <c r="D609" t="s">
        <v>572</v>
      </c>
      <c r="G609">
        <v>50</v>
      </c>
      <c r="H609" t="s">
        <v>140</v>
      </c>
      <c r="I609">
        <v>4582</v>
      </c>
      <c r="K609" t="s">
        <v>572</v>
      </c>
      <c r="L609">
        <v>4557</v>
      </c>
      <c r="O609" t="str">
        <f t="shared" si="9"/>
        <v>Tg(sox10:tagRFP)</v>
      </c>
    </row>
    <row r="610" spans="1:15" x14ac:dyDescent="0.3">
      <c r="A610">
        <v>4708</v>
      </c>
      <c r="B610">
        <v>43447</v>
      </c>
      <c r="D610" t="s">
        <v>601</v>
      </c>
      <c r="G610">
        <v>45</v>
      </c>
      <c r="H610" t="s">
        <v>50</v>
      </c>
      <c r="I610">
        <v>4235</v>
      </c>
      <c r="J610" t="s">
        <v>12</v>
      </c>
      <c r="L610">
        <v>4235</v>
      </c>
      <c r="M610" t="s">
        <v>12</v>
      </c>
      <c r="O610" t="str">
        <f t="shared" si="9"/>
        <v>plp1a:tagRFP-CAAX;cry:GFP F0</v>
      </c>
    </row>
    <row r="611" spans="1:15" x14ac:dyDescent="0.3">
      <c r="A611">
        <v>4709</v>
      </c>
      <c r="B611">
        <v>43452</v>
      </c>
      <c r="D611" t="s">
        <v>602</v>
      </c>
      <c r="G611">
        <v>100</v>
      </c>
      <c r="H611" t="s">
        <v>50</v>
      </c>
      <c r="I611">
        <v>4472</v>
      </c>
      <c r="J611" t="s">
        <v>12</v>
      </c>
      <c r="L611">
        <v>4472</v>
      </c>
      <c r="M611" t="s">
        <v>12</v>
      </c>
      <c r="O611" t="str">
        <f t="shared" si="9"/>
        <v>sox10:eGFP F0</v>
      </c>
    </row>
    <row r="612" spans="1:15" x14ac:dyDescent="0.3">
      <c r="A612">
        <v>4710</v>
      </c>
      <c r="B612">
        <v>43452</v>
      </c>
      <c r="D612" t="s">
        <v>603</v>
      </c>
      <c r="G612">
        <v>50</v>
      </c>
      <c r="H612" t="s">
        <v>50</v>
      </c>
      <c r="I612">
        <v>4472</v>
      </c>
      <c r="J612" t="s">
        <v>12</v>
      </c>
      <c r="L612">
        <v>4472</v>
      </c>
      <c r="M612" t="s">
        <v>12</v>
      </c>
      <c r="O612" t="str">
        <f t="shared" si="9"/>
        <v>olig1:tagRFP-CAAX; cry:mCherry F0</v>
      </c>
    </row>
    <row r="613" spans="1:15" x14ac:dyDescent="0.3">
      <c r="A613">
        <v>4711</v>
      </c>
      <c r="B613">
        <v>43453</v>
      </c>
      <c r="C613" t="s">
        <v>604</v>
      </c>
      <c r="D613" t="s">
        <v>605</v>
      </c>
      <c r="G613">
        <v>50</v>
      </c>
      <c r="H613" t="s">
        <v>50</v>
      </c>
      <c r="I613">
        <v>4508</v>
      </c>
      <c r="J613" t="s">
        <v>606</v>
      </c>
      <c r="L613">
        <v>3100</v>
      </c>
      <c r="N613" t="s">
        <v>70</v>
      </c>
      <c r="O613" t="str">
        <f t="shared" si="9"/>
        <v>wif1 +/- F1==tg(olig2:dsred2) unsorted</v>
      </c>
    </row>
    <row r="614" spans="1:15" x14ac:dyDescent="0.3">
      <c r="A614">
        <v>4712</v>
      </c>
      <c r="B614">
        <v>43448</v>
      </c>
      <c r="D614" t="s">
        <v>607</v>
      </c>
      <c r="G614">
        <v>50</v>
      </c>
      <c r="H614" t="s">
        <v>33</v>
      </c>
      <c r="I614">
        <v>4426</v>
      </c>
      <c r="K614" t="s">
        <v>89</v>
      </c>
      <c r="L614">
        <v>2841</v>
      </c>
      <c r="N614" t="s">
        <v>608</v>
      </c>
      <c r="O614" t="str">
        <f t="shared" si="9"/>
        <v>Tg(gfap:nfsb-mcherry)</v>
      </c>
    </row>
    <row r="615" spans="1:15" x14ac:dyDescent="0.3">
      <c r="A615">
        <v>4713</v>
      </c>
      <c r="B615">
        <v>43448</v>
      </c>
      <c r="D615" t="s">
        <v>607</v>
      </c>
      <c r="E615" t="s">
        <v>84</v>
      </c>
      <c r="G615">
        <v>50</v>
      </c>
      <c r="H615" t="s">
        <v>33</v>
      </c>
      <c r="I615">
        <v>4426</v>
      </c>
      <c r="K615" t="s">
        <v>89</v>
      </c>
      <c r="L615">
        <v>2841</v>
      </c>
      <c r="N615" t="s">
        <v>608</v>
      </c>
      <c r="O615" t="str">
        <f t="shared" si="9"/>
        <v>Tg(gfap:nfsb-mcherry)==Tg(sox10:nls-EOS)</v>
      </c>
    </row>
    <row r="616" spans="1:15" x14ac:dyDescent="0.3">
      <c r="A616">
        <v>4714</v>
      </c>
      <c r="B616">
        <v>43452</v>
      </c>
      <c r="D616" t="s">
        <v>161</v>
      </c>
      <c r="G616">
        <v>50</v>
      </c>
      <c r="H616" t="s">
        <v>108</v>
      </c>
      <c r="I616">
        <v>2892</v>
      </c>
      <c r="J616" t="s">
        <v>12</v>
      </c>
      <c r="L616">
        <v>2444</v>
      </c>
      <c r="N616" t="s">
        <v>161</v>
      </c>
      <c r="O616" t="str">
        <f t="shared" si="9"/>
        <v>tg(nkx2.2a:megfp)</v>
      </c>
    </row>
    <row r="617" spans="1:15" x14ac:dyDescent="0.3">
      <c r="A617">
        <v>4715</v>
      </c>
      <c r="B617">
        <v>43453</v>
      </c>
      <c r="C617" t="s">
        <v>609</v>
      </c>
      <c r="G617">
        <v>50</v>
      </c>
      <c r="H617" t="s">
        <v>114</v>
      </c>
      <c r="I617">
        <v>4096</v>
      </c>
      <c r="J617" t="s">
        <v>610</v>
      </c>
      <c r="L617">
        <v>4096</v>
      </c>
      <c r="M617" t="s">
        <v>611</v>
      </c>
      <c r="O617" t="str">
        <f t="shared" si="9"/>
        <v>cal gw71 +/-;-/-</v>
      </c>
    </row>
    <row r="618" spans="1:15" x14ac:dyDescent="0.3">
      <c r="A618">
        <v>4716</v>
      </c>
      <c r="B618">
        <v>43454</v>
      </c>
      <c r="C618" t="s">
        <v>612</v>
      </c>
      <c r="D618" t="s">
        <v>177</v>
      </c>
      <c r="G618">
        <v>59</v>
      </c>
      <c r="H618" t="s">
        <v>140</v>
      </c>
      <c r="I618">
        <v>4559</v>
      </c>
      <c r="J618" t="s">
        <v>613</v>
      </c>
      <c r="K618" t="s">
        <v>177</v>
      </c>
      <c r="L618">
        <v>2663</v>
      </c>
      <c r="M618" t="s">
        <v>85</v>
      </c>
      <c r="O618" t="str">
        <f t="shared" si="9"/>
        <v>1.6 met CRISPR Founder "A"==Tg(olig2:egfp)</v>
      </c>
    </row>
    <row r="619" spans="1:15" x14ac:dyDescent="0.3">
      <c r="A619">
        <v>4717</v>
      </c>
      <c r="B619">
        <v>43454</v>
      </c>
      <c r="C619" t="s">
        <v>614</v>
      </c>
      <c r="D619" t="s">
        <v>177</v>
      </c>
      <c r="G619">
        <v>67</v>
      </c>
      <c r="H619" t="s">
        <v>140</v>
      </c>
      <c r="I619">
        <v>4559</v>
      </c>
      <c r="J619" t="s">
        <v>613</v>
      </c>
      <c r="K619" t="s">
        <v>177</v>
      </c>
      <c r="L619">
        <v>2663</v>
      </c>
      <c r="M619" t="s">
        <v>85</v>
      </c>
      <c r="O619" t="str">
        <f t="shared" si="9"/>
        <v>1.6 met CRISPR Founder "B"==Tg(olig2:egfp)</v>
      </c>
    </row>
    <row r="620" spans="1:15" x14ac:dyDescent="0.3">
      <c r="A620">
        <v>4718</v>
      </c>
      <c r="B620">
        <v>43453</v>
      </c>
      <c r="D620" t="s">
        <v>615</v>
      </c>
      <c r="E620" t="s">
        <v>616</v>
      </c>
      <c r="G620">
        <v>100</v>
      </c>
      <c r="H620" t="s">
        <v>379</v>
      </c>
      <c r="I620">
        <v>4553</v>
      </c>
      <c r="K620" t="s">
        <v>615</v>
      </c>
      <c r="L620">
        <v>4338</v>
      </c>
      <c r="N620" t="s">
        <v>616</v>
      </c>
      <c r="O620" t="str">
        <f t="shared" si="9"/>
        <v>Tg(sox10:tagrfp)==Tg(huc:gcamp6s)</v>
      </c>
    </row>
    <row r="621" spans="1:15" x14ac:dyDescent="0.3">
      <c r="A621">
        <v>4719</v>
      </c>
      <c r="B621">
        <v>43453</v>
      </c>
      <c r="D621" t="s">
        <v>617</v>
      </c>
      <c r="G621">
        <v>10</v>
      </c>
      <c r="H621" t="s">
        <v>379</v>
      </c>
      <c r="I621">
        <v>4648</v>
      </c>
      <c r="K621" t="s">
        <v>618</v>
      </c>
      <c r="L621">
        <v>2985</v>
      </c>
      <c r="M621" t="s">
        <v>12</v>
      </c>
      <c r="O621" t="str">
        <f t="shared" si="9"/>
        <v>Tg(sox10:iglusnfr) F1</v>
      </c>
    </row>
    <row r="622" spans="1:15" x14ac:dyDescent="0.3">
      <c r="A622">
        <v>4720</v>
      </c>
      <c r="B622">
        <v>43453</v>
      </c>
      <c r="D622" t="s">
        <v>617</v>
      </c>
      <c r="G622">
        <v>10</v>
      </c>
      <c r="H622" t="s">
        <v>379</v>
      </c>
      <c r="I622">
        <v>2985</v>
      </c>
      <c r="J622" t="s">
        <v>12</v>
      </c>
      <c r="L622">
        <v>4648</v>
      </c>
      <c r="M622" t="s">
        <v>618</v>
      </c>
      <c r="O622" t="str">
        <f t="shared" si="9"/>
        <v>Tg(sox10:iglusnfr) F1</v>
      </c>
    </row>
    <row r="623" spans="1:15" x14ac:dyDescent="0.3">
      <c r="A623">
        <v>4721</v>
      </c>
      <c r="B623">
        <v>43463</v>
      </c>
      <c r="D623" t="s">
        <v>599</v>
      </c>
      <c r="G623">
        <v>10</v>
      </c>
      <c r="H623" t="s">
        <v>13</v>
      </c>
      <c r="O623" t="str">
        <f t="shared" si="9"/>
        <v>Ki(eab2:AG) F2</v>
      </c>
    </row>
    <row r="624" spans="1:15" x14ac:dyDescent="0.3">
      <c r="A624">
        <v>4722</v>
      </c>
      <c r="B624">
        <v>43463</v>
      </c>
      <c r="D624" t="s">
        <v>619</v>
      </c>
      <c r="G624">
        <v>11</v>
      </c>
      <c r="H624" t="s">
        <v>13</v>
      </c>
      <c r="O624" t="str">
        <f t="shared" si="9"/>
        <v>Ki(eab2:GA)uva30 F1</v>
      </c>
    </row>
    <row r="625" spans="1:15" x14ac:dyDescent="0.3">
      <c r="A625">
        <v>4723</v>
      </c>
      <c r="B625">
        <v>43464</v>
      </c>
      <c r="D625" t="s">
        <v>620</v>
      </c>
      <c r="G625">
        <v>40</v>
      </c>
      <c r="H625" t="s">
        <v>13</v>
      </c>
      <c r="O625" t="str">
        <f t="shared" si="9"/>
        <v>Tg(eab2:FRT-GFP-FRT-mApple)uva15 F2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</vt:lpstr>
      <vt:lpstr>raw-stocks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</dc:creator>
  <cp:lastModifiedBy>Ted</cp:lastModifiedBy>
  <dcterms:created xsi:type="dcterms:W3CDTF">2022-02-02T16:01:52Z</dcterms:created>
  <dcterms:modified xsi:type="dcterms:W3CDTF">2022-02-02T16:39:13Z</dcterms:modified>
</cp:coreProperties>
</file>